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OCCHI\Documents\excell\"/>
    </mc:Choice>
  </mc:AlternateContent>
  <bookViews>
    <workbookView xWindow="0" yWindow="0" windowWidth="19395" windowHeight="9720" activeTab="3"/>
  </bookViews>
  <sheets>
    <sheet name="Accueil" sheetId="1" r:id="rId1"/>
    <sheet name="Articles" sheetId="2" r:id="rId2"/>
    <sheet name="Transaction" sheetId="5" r:id="rId3"/>
    <sheet name="Bilan" sheetId="9" r:id="rId4"/>
    <sheet name="Configuration" sheetId="7" r:id="rId5"/>
  </sheets>
  <definedNames>
    <definedName name="_xlnm._FilterDatabase" localSheetId="2" hidden="1">Transaction!$H$8:$H$36</definedName>
    <definedName name="_xlcn.WorksheetConnection_merveilledebeautés.xlsmTableau4" hidden="1">Tableau4[]</definedName>
    <definedName name="_xlcn.WorksheetConnection_merveilledebeautés.xlsmTableau411" hidden="1">Tableau4[]</definedName>
    <definedName name="_xlcn.WorksheetConnection_merveilledebeautés.xlsmTableau42" hidden="1">Tableau4[]</definedName>
    <definedName name="_xlcn.WorksheetConnection_merveilledebeautés.xlsmTableau43" hidden="1">Tableau4[]</definedName>
    <definedName name="_xlcn.WorksheetConnection_merveilledebeautés.xlsmTableau4Date" hidden="1">Tableau4[Date]</definedName>
    <definedName name="articles">Tableau2[Nom Article]</definedName>
    <definedName name="_xlnm.Extract" localSheetId="2">Transaction!$K$8</definedName>
  </definedNames>
  <calcPr calcId="152511"/>
  <pivotCaches>
    <pivotCache cacheId="25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43-36c84f12-2185-4421-bc3c-ff0c9e9ab3a9" name="Tableau43" connection="WorksheetConnection_merveille de beautés.xlsm!Tableau43"/>
          <x15:modelTable id="Tableau42-6a26e4b4-90f3-4441-b956-06108c22dd92" name="Tableau42" connection="WorksheetConnection_merveille de beautés.xlsm!Tableau42"/>
          <x15:modelTable id="Tableau41-523f792b-c738-477c-a5fe-6959c1998616" name="Tableau41" connection="WorksheetConnection_merveille de beautés.xlsm!Tableau41"/>
          <x15:modelTable id="Tableau4 Date-ad22b390-bf1d-4e9a-a304-5e4ee8211c54" name="Tableau4 Date" connection="WorksheetConnection_merveille de beautés.xlsm!Tableau4[Date]"/>
          <x15:modelTable id="Tableau4-22ae6cdb-0be0-469b-bea4-469d9d1ad13f" name="Tableau4" connection="WorksheetConnection_merveille de beautés.xlsm!Tableau4"/>
        </x15:modelTables>
      </x15:dataModel>
    </ext>
  </extLst>
</workbook>
</file>

<file path=xl/calcChain.xml><?xml version="1.0" encoding="utf-8"?>
<calcChain xmlns="http://schemas.openxmlformats.org/spreadsheetml/2006/main">
  <c r="F11" i="5" l="1"/>
  <c r="G11" i="5" s="1"/>
  <c r="F10" i="5"/>
  <c r="G10" i="5" s="1"/>
  <c r="F9" i="5"/>
  <c r="G9" i="5" s="1"/>
  <c r="F8" i="5"/>
  <c r="G8" i="5" s="1"/>
  <c r="F19" i="2"/>
  <c r="G19" i="2" s="1"/>
  <c r="F18" i="2"/>
  <c r="G18" i="2" s="1"/>
  <c r="I19" i="2" l="1"/>
  <c r="I18" i="2"/>
  <c r="F14" i="5"/>
  <c r="G14" i="5" s="1"/>
  <c r="D29" i="7"/>
  <c r="F13" i="5" l="1"/>
  <c r="G13" i="5" s="1"/>
  <c r="F12" i="5"/>
  <c r="G12" i="5" s="1"/>
  <c r="F17" i="2"/>
  <c r="I17" i="2" s="1"/>
  <c r="G17" i="2" l="1"/>
  <c r="F25" i="5"/>
  <c r="G25" i="5" s="1"/>
  <c r="F24" i="5"/>
  <c r="G24" i="5" s="1"/>
  <c r="F23" i="5"/>
  <c r="G23" i="5" s="1"/>
  <c r="F22" i="5"/>
  <c r="G22" i="5" s="1"/>
  <c r="F21" i="5"/>
  <c r="G21" i="5" s="1"/>
  <c r="F20" i="5"/>
  <c r="G20" i="5" s="1"/>
  <c r="F19" i="5"/>
  <c r="G19" i="5" s="1"/>
  <c r="F18" i="5"/>
  <c r="G18" i="5" s="1"/>
  <c r="F17" i="5"/>
  <c r="G17" i="5" s="1"/>
  <c r="F16" i="5"/>
  <c r="G16" i="5" s="1"/>
  <c r="F15" i="5"/>
  <c r="G15" i="5" s="1"/>
  <c r="F36" i="5" l="1"/>
  <c r="G36" i="5" s="1"/>
  <c r="F35" i="5"/>
  <c r="G35" i="5" s="1"/>
  <c r="F34" i="5"/>
  <c r="G34" i="5" s="1"/>
  <c r="F33" i="5"/>
  <c r="G33" i="5" s="1"/>
  <c r="F32" i="5"/>
  <c r="G32" i="5" s="1"/>
  <c r="F31" i="5"/>
  <c r="G31" i="5" s="1"/>
  <c r="F30" i="5"/>
  <c r="G30" i="5" s="1"/>
  <c r="F29" i="5"/>
  <c r="G29" i="5" s="1"/>
  <c r="F28" i="5"/>
  <c r="G28" i="5" s="1"/>
  <c r="F27" i="5"/>
  <c r="G27" i="5" s="1"/>
  <c r="F26" i="5"/>
  <c r="G26" i="5" s="1"/>
  <c r="F16" i="2"/>
  <c r="F15" i="2"/>
  <c r="F14" i="2"/>
  <c r="F13" i="2"/>
  <c r="F12" i="2"/>
  <c r="F11" i="2"/>
  <c r="F10" i="2"/>
  <c r="F9" i="2"/>
  <c r="F8" i="2"/>
  <c r="G8" i="2" l="1"/>
  <c r="D27" i="7"/>
  <c r="G15" i="2"/>
  <c r="I15" i="2"/>
  <c r="G13" i="2"/>
  <c r="I13" i="2"/>
  <c r="G11" i="2"/>
  <c r="I11" i="2"/>
  <c r="G12" i="2"/>
  <c r="I12" i="2"/>
  <c r="G16" i="2"/>
  <c r="I16" i="2"/>
  <c r="G9" i="2"/>
  <c r="I9" i="2"/>
  <c r="G10" i="2"/>
  <c r="I10" i="2"/>
  <c r="G14" i="2"/>
  <c r="I14" i="2"/>
  <c r="I8" i="2"/>
  <c r="D28" i="7" l="1"/>
  <c r="D26" i="7"/>
  <c r="E11" i="7"/>
  <c r="E10" i="7"/>
  <c r="E9" i="7" l="1"/>
</calcChain>
</file>

<file path=xl/connections.xml><?xml version="1.0" encoding="utf-8"?>
<connections xmlns="http://schemas.openxmlformats.org/spreadsheetml/2006/main">
  <connection id="1" keepAlive="1" name="ThisWorkbookDataModel" description="Modèle de donnée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merveille de beautés.xlsm!Tableau4" type="102" refreshedVersion="5" minRefreshableVersion="5" refreshOnLoad="1" saveData="1">
    <extLst>
      <ext xmlns:x15="http://schemas.microsoft.com/office/spreadsheetml/2010/11/main" uri="{DE250136-89BD-433C-8126-D09CA5730AF9}">
        <x15:connection id="Tableau4-22ae6cdb-0be0-469b-bea4-469d9d1ad13f" autoDelete="1">
          <x15:rangePr sourceName="_xlcn.WorksheetConnection_merveilledebeautés.xlsmTableau4"/>
        </x15:connection>
      </ext>
    </extLst>
  </connection>
  <connection id="3" name="WorksheetConnection_merveille de beautés.xlsm!Tableau4[Date]" type="102" refreshedVersion="5" minRefreshableVersion="5">
    <extLst>
      <ext xmlns:x15="http://schemas.microsoft.com/office/spreadsheetml/2010/11/main" uri="{DE250136-89BD-433C-8126-D09CA5730AF9}">
        <x15:connection id="Tableau4 Date-ad22b390-bf1d-4e9a-a304-5e4ee8211c54">
          <x15:rangePr sourceName="_xlcn.WorksheetConnection_merveilledebeautés.xlsmTableau4Date"/>
        </x15:connection>
      </ext>
    </extLst>
  </connection>
  <connection id="4" name="WorksheetConnection_merveille de beautés.xlsm!Tableau41" type="102" refreshedVersion="5" minRefreshableVersion="5">
    <extLst>
      <ext xmlns:x15="http://schemas.microsoft.com/office/spreadsheetml/2010/11/main" uri="{DE250136-89BD-433C-8126-D09CA5730AF9}">
        <x15:connection id="Tableau41-523f792b-c738-477c-a5fe-6959c1998616">
          <x15:rangePr sourceName="_xlcn.WorksheetConnection_merveilledebeautés.xlsmTableau411"/>
        </x15:connection>
      </ext>
    </extLst>
  </connection>
  <connection id="5" name="WorksheetConnection_merveille de beautés.xlsm!Tableau42" type="102" refreshedVersion="5" minRefreshableVersion="5">
    <extLst>
      <ext xmlns:x15="http://schemas.microsoft.com/office/spreadsheetml/2010/11/main" uri="{DE250136-89BD-433C-8126-D09CA5730AF9}">
        <x15:connection id="Tableau42-6a26e4b4-90f3-4441-b956-06108c22dd92">
          <x15:rangePr sourceName="_xlcn.WorksheetConnection_merveilledebeautés.xlsmTableau42"/>
        </x15:connection>
      </ext>
    </extLst>
  </connection>
  <connection id="6" name="WorksheetConnection_merveille de beautés.xlsm!Tableau43" type="102" refreshedVersion="5" minRefreshableVersion="5">
    <extLst>
      <ext xmlns:x15="http://schemas.microsoft.com/office/spreadsheetml/2010/11/main" uri="{DE250136-89BD-433C-8126-D09CA5730AF9}">
        <x15:connection id="Tableau43-36c84f12-2185-4421-bc3c-ff0c9e9ab3a9">
          <x15:rangePr sourceName="_xlcn.WorksheetConnection_merveilledebeautés.xlsmTableau43"/>
        </x15:connection>
      </ext>
    </extLst>
  </connection>
</connections>
</file>

<file path=xl/sharedStrings.xml><?xml version="1.0" encoding="utf-8"?>
<sst xmlns="http://schemas.openxmlformats.org/spreadsheetml/2006/main" count="211" uniqueCount="86">
  <si>
    <t>Description</t>
  </si>
  <si>
    <t>N° Article</t>
  </si>
  <si>
    <t>Prix unitaire</t>
  </si>
  <si>
    <t>Stock</t>
  </si>
  <si>
    <t>stock minimal</t>
  </si>
  <si>
    <t>état</t>
  </si>
  <si>
    <t>statut</t>
  </si>
  <si>
    <t>vide</t>
  </si>
  <si>
    <t>Nom Article</t>
  </si>
  <si>
    <t>valeur du stock</t>
  </si>
  <si>
    <t>Suffixe</t>
  </si>
  <si>
    <t>ART-</t>
  </si>
  <si>
    <t>Article</t>
  </si>
  <si>
    <t>ART-000001</t>
  </si>
  <si>
    <t>actif</t>
  </si>
  <si>
    <t>ART-000002</t>
  </si>
  <si>
    <t>ART-000003</t>
  </si>
  <si>
    <t>ART-000004</t>
  </si>
  <si>
    <t>ART-000005</t>
  </si>
  <si>
    <t>ART-000006</t>
  </si>
  <si>
    <t>Date</t>
  </si>
  <si>
    <t>Commande</t>
  </si>
  <si>
    <t>CMD-</t>
  </si>
  <si>
    <t>bocchianaba@gmail.com</t>
  </si>
  <si>
    <t>Nkoabang</t>
  </si>
  <si>
    <t>nom de l'entreprise</t>
  </si>
  <si>
    <t>Merveille de beauté</t>
  </si>
  <si>
    <t>numéro de l'entreprise</t>
  </si>
  <si>
    <t>email de l'entreprise</t>
  </si>
  <si>
    <t>information de l'entreprise</t>
  </si>
  <si>
    <t>quartier</t>
  </si>
  <si>
    <t>Facture</t>
  </si>
  <si>
    <t>FACT-</t>
  </si>
  <si>
    <t>Type</t>
  </si>
  <si>
    <t>N° facture</t>
  </si>
  <si>
    <t>Quantité</t>
  </si>
  <si>
    <t>total</t>
  </si>
  <si>
    <t>FACT-000001</t>
  </si>
  <si>
    <t>Entrée</t>
  </si>
  <si>
    <t>stylo</t>
  </si>
  <si>
    <t>ART-000007</t>
  </si>
  <si>
    <t>ART-000008</t>
  </si>
  <si>
    <t>ART-000009</t>
  </si>
  <si>
    <t>bic stylo</t>
  </si>
  <si>
    <t>cintres 1000f</t>
  </si>
  <si>
    <t>paquets</t>
  </si>
  <si>
    <t>tony montana</t>
  </si>
  <si>
    <t>parfum</t>
  </si>
  <si>
    <t>mousse à raser</t>
  </si>
  <si>
    <t>mousse _x000D_
à_x000D_
raser gilette</t>
  </si>
  <si>
    <t>superglue</t>
  </si>
  <si>
    <t>colle</t>
  </si>
  <si>
    <t>dentifrice 300</t>
  </si>
  <si>
    <t>dentifrice_x000D_
colgate</t>
  </si>
  <si>
    <t>cordon usb</t>
  </si>
  <si>
    <t>laptop</t>
  </si>
  <si>
    <t>ram: 4Go_x000D_
DD: 500Go_x000D_
CPU: I3 2Ghz</t>
  </si>
  <si>
    <t>Sortie</t>
  </si>
  <si>
    <t>chocolat</t>
  </si>
  <si>
    <t>saut_x000D_
de_x000D_
chocolat</t>
  </si>
  <si>
    <t>21 mai 2020</t>
  </si>
  <si>
    <t>Total général</t>
  </si>
  <si>
    <t>Somme de total</t>
  </si>
  <si>
    <t>FACT-000008</t>
  </si>
  <si>
    <t>22/05/2020</t>
  </si>
  <si>
    <t>FACT-000009</t>
  </si>
  <si>
    <t>FACT-000010</t>
  </si>
  <si>
    <t>ART-000010</t>
  </si>
  <si>
    <t>ventilateur</t>
  </si>
  <si>
    <t>FACT-000011</t>
  </si>
  <si>
    <t>29/05/2020</t>
  </si>
  <si>
    <t>FACT-000012</t>
  </si>
  <si>
    <t>tableau de bord</t>
  </si>
  <si>
    <t>volume du stock</t>
  </si>
  <si>
    <t>article critique</t>
  </si>
  <si>
    <t>nombre d'articles en stock</t>
  </si>
  <si>
    <t>FACT-000014</t>
  </si>
  <si>
    <t>ART-000011</t>
  </si>
  <si>
    <t>sprite</t>
  </si>
  <si>
    <t>jus</t>
  </si>
  <si>
    <t>ART-000012</t>
  </si>
  <si>
    <t>brosse à dent</t>
  </si>
  <si>
    <t>brosse à dent 300</t>
  </si>
  <si>
    <t>FACT-000015</t>
  </si>
  <si>
    <t>30/05/2020</t>
  </si>
  <si>
    <t>FACT-000016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</si>
</sst>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_);_(* \(#,##0\);_(* &quot;-&quot;_);_(@_)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0"/>
      <name val="Algerian"/>
      <family val="5"/>
    </font>
    <font>
      <sz val="12"/>
      <color theme="0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Algerian"/>
      <family val="5"/>
    </font>
    <font>
      <sz val="16"/>
      <color theme="1"/>
      <name val="Times New Roman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6">
    <xf numFmtId="0" fontId="0" fillId="0" borderId="0"/>
    <xf numFmtId="0" fontId="3" fillId="0" borderId="3" applyNumberFormat="0" applyFill="0" applyAlignment="0" applyProtection="0"/>
    <xf numFmtId="0" fontId="4" fillId="2" borderId="4" applyNumberFormat="0" applyAlignment="0" applyProtection="0"/>
    <xf numFmtId="0" fontId="1" fillId="3" borderId="6" applyNumberFormat="0" applyFont="0" applyAlignment="0" applyProtection="0"/>
    <xf numFmtId="0" fontId="5" fillId="4" borderId="5"/>
    <xf numFmtId="0" fontId="6" fillId="5" borderId="2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0" fontId="5" fillId="4" borderId="5" xfId="4"/>
    <xf numFmtId="0" fontId="4" fillId="2" borderId="4" xfId="2"/>
    <xf numFmtId="0" fontId="6" fillId="5" borderId="2" xfId="5"/>
    <xf numFmtId="0" fontId="4" fillId="2" borderId="7" xfId="2" applyBorder="1"/>
    <xf numFmtId="0" fontId="3" fillId="0" borderId="2" xfId="1" applyBorder="1"/>
    <xf numFmtId="0" fontId="6" fillId="5" borderId="2" xfId="5" applyBorder="1"/>
    <xf numFmtId="0" fontId="0" fillId="3" borderId="6" xfId="3" applyFont="1" applyAlignment="1">
      <alignment horizontal="left"/>
    </xf>
    <xf numFmtId="0" fontId="2" fillId="3" borderId="6" xfId="3" applyFont="1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6" fillId="5" borderId="2" xfId="5"/>
    <xf numFmtId="0" fontId="0" fillId="3" borderId="6" xfId="3" applyFont="1" applyAlignment="1">
      <alignment horizontal="left"/>
    </xf>
    <xf numFmtId="0" fontId="8" fillId="0" borderId="0" xfId="0" applyFont="1" applyAlignment="1">
      <alignment horizontal="center" vertical="center"/>
    </xf>
    <xf numFmtId="0" fontId="6" fillId="5" borderId="2" xfId="5"/>
    <xf numFmtId="0" fontId="0" fillId="3" borderId="6" xfId="3" applyFont="1" applyAlignment="1">
      <alignment horizontal="left"/>
    </xf>
    <xf numFmtId="0" fontId="5" fillId="4" borderId="8" xfId="4" applyBorder="1" applyAlignment="1">
      <alignment horizontal="center"/>
    </xf>
    <xf numFmtId="0" fontId="5" fillId="4" borderId="0" xfId="4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pivotButton="1" applyFont="1" applyAlignment="1">
      <alignment horizontal="center"/>
    </xf>
    <xf numFmtId="0" fontId="9" fillId="0" borderId="0" xfId="0" applyNumberFormat="1" applyFont="1" applyAlignment="1">
      <alignment horizontal="center"/>
    </xf>
    <xf numFmtId="0" fontId="9" fillId="0" borderId="0" xfId="0" pivotButton="1" applyFont="1" applyAlignment="1">
      <alignment horizontal="left"/>
    </xf>
  </cellXfs>
  <cellStyles count="6">
    <cellStyle name="Commentaire" xfId="3" builtinId="10"/>
    <cellStyle name="Normal" xfId="0" builtinId="0"/>
    <cellStyle name="Sortie" xfId="2" builtinId="21"/>
    <cellStyle name="Style 1" xfId="4"/>
    <cellStyle name="Style 2" xfId="5"/>
    <cellStyle name="Titre 2" xfId="1" builtinId="17"/>
  </cellStyles>
  <dxfs count="39"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horizontal="center" readingOrder="0"/>
    </dxf>
    <dxf>
      <numFmt numFmtId="0" formatCode="General"/>
    </dxf>
    <dxf>
      <numFmt numFmtId="164" formatCode="_(* #,##0_);_(* \(#,##0\);_(* &quot;-&quot;_);_(@_)"/>
      <alignment horizontal="center" vertical="center" textRotation="0" wrapText="0" indent="0" justifyLastLine="0" shrinkToFit="0" readingOrder="0"/>
    </dxf>
    <dxf>
      <numFmt numFmtId="165" formatCode="#,##0\ _€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(* #,##0_);_(* \(#,##0\);_(* &quot;-&quot;_);_(@_)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#,##0\ _€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[merveille de beautés 1.xlsm]Bilan!Tableau croisé dynamique5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Bilan!$C$7:$C$8</c:f>
              <c:strCache>
                <c:ptCount val="1"/>
                <c:pt idx="0">
                  <c:v>Entrée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Bilan!$B$9:$B$13</c:f>
              <c:strCache>
                <c:ptCount val="4"/>
                <c:pt idx="0">
                  <c:v>30/05/2020</c:v>
                </c:pt>
                <c:pt idx="1">
                  <c:v>29/05/2020</c:v>
                </c:pt>
                <c:pt idx="2">
                  <c:v>22/05/2020</c:v>
                </c:pt>
                <c:pt idx="3">
                  <c:v>21 mai 2020</c:v>
                </c:pt>
              </c:strCache>
            </c:strRef>
          </c:cat>
          <c:val>
            <c:numRef>
              <c:f>Bilan!$C$9:$C$13</c:f>
              <c:numCache>
                <c:formatCode>General</c:formatCode>
                <c:ptCount val="4"/>
                <c:pt idx="0">
                  <c:v>22500</c:v>
                </c:pt>
                <c:pt idx="1">
                  <c:v>92000</c:v>
                </c:pt>
                <c:pt idx="2">
                  <c:v>358900</c:v>
                </c:pt>
                <c:pt idx="3">
                  <c:v>403100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Bilan!$D$7:$D$8</c:f>
              <c:strCache>
                <c:ptCount val="1"/>
                <c:pt idx="0">
                  <c:v>Sortie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Bilan!$B$9:$B$13</c:f>
              <c:strCache>
                <c:ptCount val="4"/>
                <c:pt idx="0">
                  <c:v>30/05/2020</c:v>
                </c:pt>
                <c:pt idx="1">
                  <c:v>29/05/2020</c:v>
                </c:pt>
                <c:pt idx="2">
                  <c:v>22/05/2020</c:v>
                </c:pt>
                <c:pt idx="3">
                  <c:v>21 mai 2020</c:v>
                </c:pt>
              </c:strCache>
            </c:strRef>
          </c:cat>
          <c:val>
            <c:numRef>
              <c:f>Bilan!$D$9:$D$13</c:f>
              <c:numCache>
                <c:formatCode>General</c:formatCode>
                <c:ptCount val="4"/>
                <c:pt idx="0">
                  <c:v>6000</c:v>
                </c:pt>
                <c:pt idx="1">
                  <c:v>20000</c:v>
                </c:pt>
                <c:pt idx="2">
                  <c:v>574700</c:v>
                </c:pt>
                <c:pt idx="3">
                  <c:v>1100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85632"/>
        <c:axId val="194481320"/>
      </c:lineChart>
      <c:catAx>
        <c:axId val="19448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481320"/>
        <c:crosses val="autoZero"/>
        <c:auto val="1"/>
        <c:lblAlgn val="ctr"/>
        <c:lblOffset val="100"/>
        <c:noMultiLvlLbl val="0"/>
      </c:catAx>
      <c:valAx>
        <c:axId val="19448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48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3</xdr:row>
      <xdr:rowOff>0</xdr:rowOff>
    </xdr:from>
    <xdr:to>
      <xdr:col>6</xdr:col>
      <xdr:colOff>304801</xdr:colOff>
      <xdr:row>12</xdr:row>
      <xdr:rowOff>85725</xdr:rowOff>
    </xdr:to>
    <xdr:grpSp>
      <xdr:nvGrpSpPr>
        <xdr:cNvPr id="12" name="Groupe 11"/>
        <xdr:cNvGrpSpPr/>
      </xdr:nvGrpSpPr>
      <xdr:grpSpPr>
        <a:xfrm>
          <a:off x="2076450" y="914400"/>
          <a:ext cx="3609976" cy="1800225"/>
          <a:chOff x="6096000" y="1143000"/>
          <a:chExt cx="3609975" cy="1800225"/>
        </a:xfrm>
      </xdr:grpSpPr>
      <xdr:sp macro="" textlink="">
        <xdr:nvSpPr>
          <xdr:cNvPr id="21" name="ZoneTexte 20"/>
          <xdr:cNvSpPr txBox="1"/>
        </xdr:nvSpPr>
        <xdr:spPr>
          <a:xfrm>
            <a:off x="6096000" y="1143000"/>
            <a:ext cx="3609975" cy="1800225"/>
          </a:xfrm>
          <a:prstGeom prst="rect">
            <a:avLst/>
          </a:prstGeom>
          <a:solidFill>
            <a:schemeClr val="accent1">
              <a:lumMod val="5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fr-FR" sz="1100"/>
          </a:p>
        </xdr:txBody>
      </xdr:sp>
      <xdr:sp macro="" textlink="Configuration!B26">
        <xdr:nvSpPr>
          <xdr:cNvPr id="22" name="ZoneTexte 21"/>
          <xdr:cNvSpPr txBox="1"/>
        </xdr:nvSpPr>
        <xdr:spPr>
          <a:xfrm>
            <a:off x="6096000" y="2562225"/>
            <a:ext cx="3600000" cy="360000"/>
          </a:xfrm>
          <a:prstGeom prst="rect">
            <a:avLst/>
          </a:prstGeom>
          <a:solidFill>
            <a:schemeClr val="accent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21B483B-36CF-497C-8D0F-1558D48FE6DB}" type="TxLink">
              <a:rPr lang="en-US" sz="1600" b="0" i="0" u="none" strike="noStrike">
                <a:solidFill>
                  <a:srgbClr val="FFFFFF"/>
                </a:solidFill>
                <a:latin typeface="Algerian" panose="04020705040A02060702" pitchFamily="82" charset="0"/>
                <a:cs typeface="Times New Roman"/>
              </a:rPr>
              <a:pPr algn="ctr"/>
              <a:t>valeur du stock</a:t>
            </a:fld>
            <a:endParaRPr lang="fr-FR" sz="16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" textlink="Configuration!D26">
        <xdr:nvSpPr>
          <xdr:cNvPr id="23" name="ZoneTexte 22"/>
          <xdr:cNvSpPr txBox="1"/>
        </xdr:nvSpPr>
        <xdr:spPr>
          <a:xfrm>
            <a:off x="6324600" y="1514475"/>
            <a:ext cx="2200275" cy="695325"/>
          </a:xfrm>
          <a:prstGeom prst="rect">
            <a:avLst/>
          </a:prstGeom>
          <a:solidFill>
            <a:schemeClr val="accent1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F8C6DE9-10B1-45F7-B893-70453A4B0AA7}" type="TxLink">
              <a:rPr lang="en-US" sz="2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274700</a:t>
            </a:fld>
            <a:endParaRPr lang="fr-FR" sz="2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pic>
        <xdr:nvPicPr>
          <xdr:cNvPr id="24" name="Image 2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96325" y="1409700"/>
            <a:ext cx="866774" cy="86677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409575</xdr:colOff>
      <xdr:row>3</xdr:row>
      <xdr:rowOff>9525</xdr:rowOff>
    </xdr:from>
    <xdr:to>
      <xdr:col>18</xdr:col>
      <xdr:colOff>133350</xdr:colOff>
      <xdr:row>12</xdr:row>
      <xdr:rowOff>95250</xdr:rowOff>
    </xdr:to>
    <xdr:grpSp>
      <xdr:nvGrpSpPr>
        <xdr:cNvPr id="31" name="Groupe 30"/>
        <xdr:cNvGrpSpPr/>
      </xdr:nvGrpSpPr>
      <xdr:grpSpPr>
        <a:xfrm>
          <a:off x="7439025" y="923925"/>
          <a:ext cx="3609975" cy="1800225"/>
          <a:chOff x="7820025" y="1228725"/>
          <a:chExt cx="3609975" cy="1800225"/>
        </a:xfrm>
      </xdr:grpSpPr>
      <xdr:grpSp>
        <xdr:nvGrpSpPr>
          <xdr:cNvPr id="32" name="Groupe 31"/>
          <xdr:cNvGrpSpPr/>
        </xdr:nvGrpSpPr>
        <xdr:grpSpPr>
          <a:xfrm>
            <a:off x="7820025" y="12287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34" name="ZoneTexte 33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3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B28">
          <xdr:nvSpPr>
            <xdr:cNvPr id="35" name="ZoneTexte 34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3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AD52E0D-8CBB-4C45-BDEE-1E6BE2073890}" type="TxLink">
                <a:rPr lang="en-US" sz="1600" b="0" i="0" u="none" strike="noStrike">
                  <a:solidFill>
                    <a:srgbClr val="FFFFFF"/>
                  </a:solidFill>
                  <a:latin typeface="Algerian" panose="04020705040A02060702" pitchFamily="82" charset="0"/>
                  <a:cs typeface="Times New Roman"/>
                </a:rPr>
                <a:pPr algn="ctr"/>
                <a:t>article critique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D28">
          <xdr:nvSpPr>
            <xdr:cNvPr id="36" name="ZoneTexte 35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3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B9D47A7-6207-4672-9F1A-66C3269FEFEF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6</a:t>
              </a:fld>
              <a:endParaRPr lang="en-US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33" name="Image 32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8376" y="1504950"/>
            <a:ext cx="1181100" cy="7905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457200</xdr:colOff>
      <xdr:row>14</xdr:row>
      <xdr:rowOff>171450</xdr:rowOff>
    </xdr:from>
    <xdr:to>
      <xdr:col>18</xdr:col>
      <xdr:colOff>180975</xdr:colOff>
      <xdr:row>24</xdr:row>
      <xdr:rowOff>66675</xdr:rowOff>
    </xdr:to>
    <xdr:grpSp>
      <xdr:nvGrpSpPr>
        <xdr:cNvPr id="37" name="Groupe 36"/>
        <xdr:cNvGrpSpPr/>
      </xdr:nvGrpSpPr>
      <xdr:grpSpPr>
        <a:xfrm>
          <a:off x="7486650" y="3181350"/>
          <a:ext cx="3609975" cy="1800225"/>
          <a:chOff x="0" y="3324225"/>
          <a:chExt cx="3609975" cy="1800225"/>
        </a:xfrm>
      </xdr:grpSpPr>
      <xdr:grpSp>
        <xdr:nvGrpSpPr>
          <xdr:cNvPr id="38" name="Groupe 37"/>
          <xdr:cNvGrpSpPr/>
        </xdr:nvGrpSpPr>
        <xdr:grpSpPr>
          <a:xfrm>
            <a:off x="0" y="33242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40" name="ZoneTexte 39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B29">
          <xdr:nvSpPr>
            <xdr:cNvPr id="41" name="ZoneTexte 40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7D2F27F-998A-485D-ACA3-437503B3D5B5}" type="TxLink">
                <a:rPr lang="en-US" sz="1600" b="0" i="0" u="none" strike="noStrike">
                  <a:solidFill>
                    <a:srgbClr val="FFFFFF"/>
                  </a:solidFill>
                  <a:latin typeface="Algerian" panose="04020705040A02060702" pitchFamily="82" charset="0"/>
                  <a:cs typeface="Times New Roman"/>
                </a:rPr>
                <a:pPr algn="ctr"/>
                <a:t>nombre d'articles en stock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D29">
          <xdr:nvSpPr>
            <xdr:cNvPr id="42" name="ZoneTexte 41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1200D6F-B67C-426E-8CDD-DA0777F23C83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12</a:t>
              </a:fld>
              <a:endParaRPr lang="fr-FR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39" name="Image 38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52700" y="3657600"/>
            <a:ext cx="800100" cy="8001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361950</xdr:colOff>
      <xdr:row>14</xdr:row>
      <xdr:rowOff>171450</xdr:rowOff>
    </xdr:from>
    <xdr:to>
      <xdr:col>6</xdr:col>
      <xdr:colOff>295275</xdr:colOff>
      <xdr:row>24</xdr:row>
      <xdr:rowOff>66675</xdr:rowOff>
    </xdr:to>
    <xdr:grpSp>
      <xdr:nvGrpSpPr>
        <xdr:cNvPr id="43" name="Groupe 42"/>
        <xdr:cNvGrpSpPr/>
      </xdr:nvGrpSpPr>
      <xdr:grpSpPr>
        <a:xfrm>
          <a:off x="2066925" y="3181350"/>
          <a:ext cx="3609975" cy="1800225"/>
          <a:chOff x="4010025" y="3324225"/>
          <a:chExt cx="3609975" cy="1800225"/>
        </a:xfrm>
      </xdr:grpSpPr>
      <xdr:grpSp>
        <xdr:nvGrpSpPr>
          <xdr:cNvPr id="44" name="Groupe 43"/>
          <xdr:cNvGrpSpPr/>
        </xdr:nvGrpSpPr>
        <xdr:grpSpPr>
          <a:xfrm>
            <a:off x="4010025" y="33242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46" name="ZoneTexte 45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B27">
          <xdr:nvSpPr>
            <xdr:cNvPr id="47" name="ZoneTexte 46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6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4257BBB-5D51-414C-8306-6E9B9151FFFC}" type="TxLink">
                <a:rPr lang="en-US" sz="1600" b="0" i="0" u="none" strike="noStrike">
                  <a:solidFill>
                    <a:srgbClr val="FFFFFF"/>
                  </a:solidFill>
                  <a:latin typeface="Algerian" panose="04020705040A02060702" pitchFamily="82" charset="0"/>
                  <a:cs typeface="Times New Roman"/>
                </a:rPr>
                <a:pPr algn="ctr"/>
                <a:t>volume du stock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D27">
          <xdr:nvSpPr>
            <xdr:cNvPr id="48" name="ZoneTexte 47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E91A703-B9E7-41D4-AFBC-F9BEA011C524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79</a:t>
              </a:fld>
              <a:endParaRPr lang="fr-FR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45" name="Image 44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1300" y="3724275"/>
            <a:ext cx="762000" cy="6477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31</xdr:col>
      <xdr:colOff>76199</xdr:colOff>
      <xdr:row>0</xdr:row>
      <xdr:rowOff>514350</xdr:rowOff>
    </xdr:to>
    <xdr:grpSp>
      <xdr:nvGrpSpPr>
        <xdr:cNvPr id="5" name="Groupe 4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3" name="Groupe 12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14" name="Groupe 13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16" name="Groupe 15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19" name="Rectangle 18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0" name="Rectangle 19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accent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17" name="Rectangle 16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18" name="Rectangle 17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15" name="Rectangle 14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58" name="Rectangle 57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</xdr:row>
      <xdr:rowOff>0</xdr:rowOff>
    </xdr:from>
    <xdr:to>
      <xdr:col>2</xdr:col>
      <xdr:colOff>76200</xdr:colOff>
      <xdr:row>5</xdr:row>
      <xdr:rowOff>95250</xdr:rowOff>
    </xdr:to>
    <xdr:sp macro="[0]!Feuil2.add_click" textlink="">
      <xdr:nvSpPr>
        <xdr:cNvPr id="24" name="Rectangle à coins arrondis 23"/>
        <xdr:cNvSpPr>
          <a:spLocks noChangeAspect="1"/>
        </xdr:cNvSpPr>
      </xdr:nvSpPr>
      <xdr:spPr>
        <a:xfrm>
          <a:off x="504825" y="762000"/>
          <a:ext cx="942975" cy="2857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Bahnschrift SemiBold" panose="020B0502040204020203" pitchFamily="34" charset="0"/>
            </a:rPr>
            <a:t>Ajouter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32</xdr:col>
      <xdr:colOff>752474</xdr:colOff>
      <xdr:row>2</xdr:row>
      <xdr:rowOff>133350</xdr:rowOff>
    </xdr:to>
    <xdr:grpSp>
      <xdr:nvGrpSpPr>
        <xdr:cNvPr id="11" name="Groupe 10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2" name="Groupe 11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22" name="Groupe 21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25" name="Groupe 24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28" name="Rectangle 27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9" name="Rectangle 28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26" name="Rectangle 25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27" name="Rectangle 26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23" name="Rectangle 22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accent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3" name="Rectangle 12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</xdr:row>
      <xdr:rowOff>0</xdr:rowOff>
    </xdr:from>
    <xdr:to>
      <xdr:col>2</xdr:col>
      <xdr:colOff>352425</xdr:colOff>
      <xdr:row>5</xdr:row>
      <xdr:rowOff>76200</xdr:rowOff>
    </xdr:to>
    <xdr:sp macro="[0]!Feuil5.show_add_fact" textlink="">
      <xdr:nvSpPr>
        <xdr:cNvPr id="2" name="Rectangle à coins arrondis 1"/>
        <xdr:cNvSpPr>
          <a:spLocks noChangeAspect="1"/>
        </xdr:cNvSpPr>
      </xdr:nvSpPr>
      <xdr:spPr>
        <a:xfrm>
          <a:off x="790575" y="762000"/>
          <a:ext cx="10858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>
              <a:latin typeface="Algerian" panose="04020705040A02060702" pitchFamily="82" charset="0"/>
            </a:rPr>
            <a:t>AJOUTER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104774</xdr:colOff>
      <xdr:row>2</xdr:row>
      <xdr:rowOff>133350</xdr:rowOff>
    </xdr:to>
    <xdr:grpSp>
      <xdr:nvGrpSpPr>
        <xdr:cNvPr id="11" name="Groupe 10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2" name="Groupe 11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22" name="Groupe 21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24" name="Groupe 23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27" name="Rectangle 26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8" name="Rectangle 27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25" name="Rectangle 24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accent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26" name="Rectangle 25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23" name="Rectangle 22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3" name="Rectangle 12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519112</xdr:colOff>
      <xdr:row>3</xdr:row>
      <xdr:rowOff>19050</xdr:rowOff>
    </xdr:from>
    <xdr:to>
      <xdr:col>10</xdr:col>
      <xdr:colOff>442912</xdr:colOff>
      <xdr:row>15</xdr:row>
      <xdr:rowOff>142875</xdr:rowOff>
    </xdr:to>
    <xdr:graphicFrame macro="">
      <xdr:nvGraphicFramePr>
        <xdr:cNvPr id="11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21</xdr:col>
      <xdr:colOff>123824</xdr:colOff>
      <xdr:row>2</xdr:row>
      <xdr:rowOff>133350</xdr:rowOff>
    </xdr:to>
    <xdr:grpSp>
      <xdr:nvGrpSpPr>
        <xdr:cNvPr id="12" name="Groupe 11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3" name="Groupe 12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15" name="Groupe 14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17" name="Groupe 16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20" name="Rectangle 19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1" name="Rectangle 20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18" name="Rectangle 17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19" name="Rectangle 18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16" name="Rectangle 15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4" name="Rectangle 13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695324</xdr:colOff>
      <xdr:row>2</xdr:row>
      <xdr:rowOff>133350</xdr:rowOff>
    </xdr:to>
    <xdr:grpSp>
      <xdr:nvGrpSpPr>
        <xdr:cNvPr id="10" name="Groupe 9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1" name="Groupe 10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13" name="Groupe 12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15" name="Groupe 14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18" name="Rectangle 17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19" name="Rectangle 18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16" name="Rectangle 15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17" name="Rectangle 16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accent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14" name="Rectangle 13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2" name="Rectangle 11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BOCCHI" refreshedDate="43981.355755902776" backgroundQuery="1" createdVersion="5" refreshedVersion="5" minRefreshableVersion="3" recordCount="0" supportSubquery="1" supportAdvancedDrill="1">
  <cacheSource type="external" connectionId="1"/>
  <cacheFields count="3">
    <cacheField name="[Tableau4].[Date].[Date]" caption="Date" numFmtId="0" hierarchy="6" level="1">
      <sharedItems count="4">
        <s v="21 mai 2020"/>
        <s v="22/05/2020"/>
        <s v="29/05/2020"/>
        <s v="30/05/2020"/>
      </sharedItems>
    </cacheField>
    <cacheField name="[Tableau4].[Type].[Type]" caption="Type" numFmtId="0" level="1">
      <sharedItems count="2">
        <s v="Entrée"/>
        <s v="Sortie"/>
      </sharedItems>
    </cacheField>
    <cacheField name="[Measures].[Somme de total]" caption="Somme de total" numFmtId="0" hierarchy="29" level="32767"/>
  </cacheFields>
  <cacheHierarchies count="36">
    <cacheHierarchy uniqueName="[Tableau4].[Type]" caption="Type" attribute="1" defaultMemberUniqueName="[Tableau4].[Type].[All]" allUniqueName="[Tableau4].[Type].[All]" dimensionUniqueName="[Tableau4]" displayFolder="" count="2" memberValueDatatype="130" unbalanced="0">
      <fieldsUsage count="2">
        <fieldUsage x="-1"/>
        <fieldUsage x="1"/>
      </fieldsUsage>
    </cacheHierarchy>
    <cacheHierarchy uniqueName="[Tableau4].[N° facture]" caption="N° facture" attribute="1" defaultMemberUniqueName="[Tableau4].[N° facture].[All]" allUniqueName="[Tableau4].[N° facture].[All]" dimensionUniqueName="[Tableau4]" displayFolder="" count="0" memberValueDatatype="130" unbalanced="0"/>
    <cacheHierarchy uniqueName="[Tableau4].[Article]" caption="Article" attribute="1" defaultMemberUniqueName="[Tableau4].[Article].[All]" allUniqueName="[Tableau4].[Article].[All]" dimensionUniqueName="[Tableau4]" displayFolder="" count="0" memberValueDatatype="130" unbalanced="0"/>
    <cacheHierarchy uniqueName="[Tableau4].[Quantité]" caption="Quantité" attribute="1" defaultMemberUniqueName="[Tableau4].[Quantité].[All]" allUniqueName="[Tableau4].[Quantité].[All]" dimensionUniqueName="[Tableau4]" displayFolder="" count="0" memberValueDatatype="20" unbalanced="0"/>
    <cacheHierarchy uniqueName="[Tableau4].[Prix unitaire]" caption="Prix unitaire" attribute="1" defaultMemberUniqueName="[Tableau4].[Prix unitaire].[All]" allUniqueName="[Tableau4].[Prix unitaire].[All]" dimensionUniqueName="[Tableau4]" displayFolder="" count="0" memberValueDatatype="20" unbalanced="0"/>
    <cacheHierarchy uniqueName="[Tableau4].[total]" caption="total" attribute="1" defaultMemberUniqueName="[Tableau4].[total].[All]" allUniqueName="[Tableau4].[total].[All]" dimensionUniqueName="[Tableau4]" displayFolder="" count="0" memberValueDatatype="20" unbalanced="0"/>
    <cacheHierarchy uniqueName="[Tableau4].[Date]" caption="Date" attribute="1" defaultMemberUniqueName="[Tableau4].[Date].[All]" allUniqueName="[Tableau4].[Date].[All]" dimensionUniqueName="[Tableau4]" displayFolder="" count="2" memberValueDatatype="130" unbalanced="0">
      <fieldsUsage count="2">
        <fieldUsage x="-1"/>
        <fieldUsage x="0"/>
      </fieldsUsage>
    </cacheHierarchy>
    <cacheHierarchy uniqueName="[Tableau4 Date].[Date]" caption="Date" attribute="1" defaultMemberUniqueName="[Tableau4 Date].[Date].[All]" allUniqueName="[Tableau4 Date].[Date].[All]" dimensionUniqueName="[Tableau4 Date]" displayFolder="" count="0" memberValueDatatype="130" unbalanced="0"/>
    <cacheHierarchy uniqueName="[Tableau41].[Type]" caption="Type" attribute="1" defaultMemberUniqueName="[Tableau41].[Type].[All]" allUniqueName="[Tableau41].[Type].[All]" dimensionUniqueName="[Tableau41]" displayFolder="" count="0" memberValueDatatype="130" unbalanced="0"/>
    <cacheHierarchy uniqueName="[Tableau41].[N° facture]" caption="N° facture" attribute="1" defaultMemberUniqueName="[Tableau41].[N° facture].[All]" allUniqueName="[Tableau41].[N° facture].[All]" dimensionUniqueName="[Tableau41]" displayFolder="" count="0" memberValueDatatype="130" unbalanced="0"/>
    <cacheHierarchy uniqueName="[Tableau41].[Article]" caption="Article" attribute="1" defaultMemberUniqueName="[Tableau41].[Article].[All]" allUniqueName="[Tableau41].[Article].[All]" dimensionUniqueName="[Tableau41]" displayFolder="" count="0" memberValueDatatype="130" unbalanced="0"/>
    <cacheHierarchy uniqueName="[Tableau41].[Quantité]" caption="Quantité" attribute="1" defaultMemberUniqueName="[Tableau41].[Quantité].[All]" allUniqueName="[Tableau41].[Quantité].[All]" dimensionUniqueName="[Tableau41]" displayFolder="" count="0" memberValueDatatype="20" unbalanced="0"/>
    <cacheHierarchy uniqueName="[Tableau41].[Prix unitaire]" caption="Prix unitaire" attribute="1" defaultMemberUniqueName="[Tableau41].[Prix unitaire].[All]" allUniqueName="[Tableau41].[Prix unitaire].[All]" dimensionUniqueName="[Tableau41]" displayFolder="" count="0" memberValueDatatype="20" unbalanced="0"/>
    <cacheHierarchy uniqueName="[Tableau41].[total]" caption="total" attribute="1" defaultMemberUniqueName="[Tableau41].[total].[All]" allUniqueName="[Tableau41].[total].[All]" dimensionUniqueName="[Tableau41]" displayFolder="" count="0" memberValueDatatype="20" unbalanced="0"/>
    <cacheHierarchy uniqueName="[Tableau41].[Date]" caption="Date" attribute="1" defaultMemberUniqueName="[Tableau41].[Date].[All]" allUniqueName="[Tableau41].[Date].[All]" dimensionUniqueName="[Tableau41]" displayFolder="" count="0" memberValueDatatype="130" unbalanced="0"/>
    <cacheHierarchy uniqueName="[Tableau42].[Type]" caption="Type" attribute="1" defaultMemberUniqueName="[Tableau42].[Type].[All]" allUniqueName="[Tableau42].[Type].[All]" dimensionUniqueName="[Tableau42]" displayFolder="" count="0" memberValueDatatype="130" unbalanced="0"/>
    <cacheHierarchy uniqueName="[Tableau42].[N° facture]" caption="N° facture" attribute="1" defaultMemberUniqueName="[Tableau42].[N° facture].[All]" allUniqueName="[Tableau42].[N° facture].[All]" dimensionUniqueName="[Tableau42]" displayFolder="" count="0" memberValueDatatype="130" unbalanced="0"/>
    <cacheHierarchy uniqueName="[Tableau42].[Article]" caption="Article" attribute="1" defaultMemberUniqueName="[Tableau42].[Article].[All]" allUniqueName="[Tableau42].[Article].[All]" dimensionUniqueName="[Tableau42]" displayFolder="" count="0" memberValueDatatype="130" unbalanced="0"/>
    <cacheHierarchy uniqueName="[Tableau42].[Quantité]" caption="Quantité" attribute="1" defaultMemberUniqueName="[Tableau42].[Quantité].[All]" allUniqueName="[Tableau42].[Quantité].[All]" dimensionUniqueName="[Tableau42]" displayFolder="" count="0" memberValueDatatype="20" unbalanced="0"/>
    <cacheHierarchy uniqueName="[Tableau42].[Prix unitaire]" caption="Prix unitaire" attribute="1" defaultMemberUniqueName="[Tableau42].[Prix unitaire].[All]" allUniqueName="[Tableau42].[Prix unitaire].[All]" dimensionUniqueName="[Tableau42]" displayFolder="" count="0" memberValueDatatype="20" unbalanced="0"/>
    <cacheHierarchy uniqueName="[Tableau42].[total]" caption="total" attribute="1" defaultMemberUniqueName="[Tableau42].[total].[All]" allUniqueName="[Tableau42].[total].[All]" dimensionUniqueName="[Tableau42]" displayFolder="" count="0" memberValueDatatype="20" unbalanced="0"/>
    <cacheHierarchy uniqueName="[Tableau42].[Date]" caption="Date" attribute="1" defaultMemberUniqueName="[Tableau42].[Date].[All]" allUniqueName="[Tableau42].[Date].[All]" dimensionUniqueName="[Tableau42]" displayFolder="" count="0" memberValueDatatype="130" unbalanced="0"/>
    <cacheHierarchy uniqueName="[Tableau43].[Type]" caption="Type" attribute="1" defaultMemberUniqueName="[Tableau43].[Type].[All]" allUniqueName="[Tableau43].[Type].[All]" dimensionUniqueName="[Tableau43]" displayFolder="" count="0" memberValueDatatype="130" unbalanced="0"/>
    <cacheHierarchy uniqueName="[Tableau43].[N° facture]" caption="N° facture" attribute="1" defaultMemberUniqueName="[Tableau43].[N° facture].[All]" allUniqueName="[Tableau43].[N° facture].[All]" dimensionUniqueName="[Tableau43]" displayFolder="" count="0" memberValueDatatype="130" unbalanced="0"/>
    <cacheHierarchy uniqueName="[Tableau43].[Article]" caption="Article" attribute="1" defaultMemberUniqueName="[Tableau43].[Article].[All]" allUniqueName="[Tableau43].[Article].[All]" dimensionUniqueName="[Tableau43]" displayFolder="" count="0" memberValueDatatype="130" unbalanced="0"/>
    <cacheHierarchy uniqueName="[Tableau43].[Quantité]" caption="Quantité" attribute="1" defaultMemberUniqueName="[Tableau43].[Quantité].[All]" allUniqueName="[Tableau43].[Quantité].[All]" dimensionUniqueName="[Tableau43]" displayFolder="" count="0" memberValueDatatype="20" unbalanced="0"/>
    <cacheHierarchy uniqueName="[Tableau43].[Prix unitaire]" caption="Prix unitaire" attribute="1" defaultMemberUniqueName="[Tableau43].[Prix unitaire].[All]" allUniqueName="[Tableau43].[Prix unitaire].[All]" dimensionUniqueName="[Tableau43]" displayFolder="" count="0" memberValueDatatype="20" unbalanced="0"/>
    <cacheHierarchy uniqueName="[Tableau43].[total]" caption="total" attribute="1" defaultMemberUniqueName="[Tableau43].[total].[All]" allUniqueName="[Tableau43].[total].[All]" dimensionUniqueName="[Tableau43]" displayFolder="" count="0" memberValueDatatype="20" unbalanced="0"/>
    <cacheHierarchy uniqueName="[Tableau43].[Date]" caption="Date" attribute="1" defaultMemberUniqueName="[Tableau43].[Date].[All]" allUniqueName="[Tableau43].[Date].[All]" dimensionUniqueName="[Tableau43]" displayFolder="" count="0" memberValueDatatype="130" unbalanced="0"/>
    <cacheHierarchy uniqueName="[Measures].[Somme de total]" caption="Somme de total" measure="1" displayFolder="" measureGroup="Tableau4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ableau4 Date]" caption="__XL_Count Tableau4 Date" measure="1" displayFolder="" measureGroup="Tableau4 Date" count="0" hidden="1"/>
    <cacheHierarchy uniqueName="[Measures].[__XL_Count Tableau4]" caption="__XL_Count Tableau4" measure="1" displayFolder="" measureGroup="Tableau4" count="0" hidden="1"/>
    <cacheHierarchy uniqueName="[Measures].[__XL_Count Tableau41]" caption="__XL_Count Tableau41" measure="1" displayFolder="" measureGroup="Tableau41" count="0" hidden="1"/>
    <cacheHierarchy uniqueName="[Measures].[__XL_Count Tableau42]" caption="__XL_Count Tableau42" measure="1" displayFolder="" measureGroup="Tableau42" count="0" hidden="1"/>
    <cacheHierarchy uniqueName="[Measures].[__XL_Count Tableau43]" caption="__XL_Count Tableau43" measure="1" displayFolder="" measureGroup="Tableau43" count="0" hidden="1"/>
    <cacheHierarchy uniqueName="[Measures].[__XL_Count of Models]" caption="__XL_Count of Models" measure="1" displayFolder="" count="0" hidden="1"/>
  </cacheHierarchies>
  <kpis count="0"/>
  <dimensions count="6">
    <dimension measure="1" name="Measures" uniqueName="[Measures]" caption="Measures"/>
    <dimension name="Tableau4" uniqueName="[Tableau4]" caption="Tableau4"/>
    <dimension name="Tableau4 Date" uniqueName="[Tableau4 Date]" caption="Tableau4 Date"/>
    <dimension name="Tableau41" uniqueName="[Tableau41]" caption="Tableau41"/>
    <dimension name="Tableau42" uniqueName="[Tableau42]" caption="Tableau42"/>
    <dimension name="Tableau43" uniqueName="[Tableau43]" caption="Tableau43"/>
  </dimensions>
  <measureGroups count="5">
    <measureGroup name="Tableau4" caption="Tableau4"/>
    <measureGroup name="Tableau4 Date" caption="Tableau4 Date"/>
    <measureGroup name="Tableau41" caption="Tableau41"/>
    <measureGroup name="Tableau42" caption="Tableau42"/>
    <measureGroup name="Tableau43" caption="Tableau43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5" cacheId="25" applyNumberFormats="0" applyBorderFormats="0" applyFontFormats="0" applyPatternFormats="0" applyAlignmentFormats="0" applyWidthHeightFormats="1" dataCaption="Valeurs" updatedVersion="5" minRefreshableVersion="3" subtotalHiddenItems="1" colGrandTotals="0" itemPrintTitles="1" createdVersion="5" indent="0" outline="1" outlineData="1" multipleFieldFilters="0" chartFormat="1" rowHeaderCaption="Date" colHeaderCaption="Type">
  <location ref="B7:D13" firstHeaderRow="1" firstDataRow="2" firstDataCol="1"/>
  <pivotFields count="3">
    <pivotField axis="axisRow" allDrilled="1" showAll="0" sortType="descending" defaultAttributeDrillState="1">
      <items count="5">
        <item x="3"/>
        <item x="2"/>
        <item x="1"/>
        <item x="0"/>
        <item t="default"/>
      </items>
    </pivotField>
    <pivotField axis="axisCol" allDrilled="1" showAll="0" sortType="ascending" defaultAttributeDrillState="1">
      <items count="3">
        <item x="0"/>
        <item x="1"/>
        <item t="default"/>
      </items>
    </pivotField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2">
    <i>
      <x/>
    </i>
    <i>
      <x v="1"/>
    </i>
  </colItems>
  <dataFields count="1">
    <dataField name="Somme de total" fld="2" baseField="0" baseItem="0"/>
  </dataFields>
  <formats count="17">
    <format dxfId="19">
      <pivotArea type="topRight" dataOnly="0" labelOnly="1" outline="0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fieldPosition="0">
        <references count="1">
          <reference field="1" count="0"/>
        </references>
      </pivotArea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dataOnly="0" labelOnly="1" fieldPosition="0">
        <references count="1">
          <reference field="1" count="0"/>
        </references>
      </pivotArea>
    </format>
    <format dxfId="3">
      <pivotArea field="1" type="button" dataOnly="0" labelOnly="1" outline="0" axis="axisCol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5" showRowHeaders="1" showColHeaders="1" showRowStripes="1" showColStripes="0" showLastColumn="1"/>
  <rowHierarchiesUsage count="1">
    <rowHierarchyUsage hierarchyUsage="6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rveille de beautés.xlsm!Tableau4">
        <x15:activeTabTopLevelEntity name="[Tableau4]"/>
      </x15:pivotTableUISettings>
    </ext>
  </extLst>
</pivotTableDefinition>
</file>

<file path=xl/tables/table1.xml><?xml version="1.0" encoding="utf-8"?>
<table xmlns="http://schemas.openxmlformats.org/spreadsheetml/2006/main" id="2" name="Tableau2" displayName="Tableau2" ref="B7:K19" totalsRowShown="0" headerRowDxfId="38" dataDxfId="37">
  <tableColumns count="10">
    <tableColumn id="1" name="Nom Article" dataDxfId="36"/>
    <tableColumn id="2" name="N° Article" dataDxfId="35"/>
    <tableColumn id="3" name="Description" dataDxfId="34"/>
    <tableColumn id="4" name="Prix unitaire" dataDxfId="33"/>
    <tableColumn id="5" name="Stock" dataDxfId="32">
      <calculatedColumnFormula>SUMIFS(Tableau4[Quantité],Tableau4[Article],Tableau2[[#This Row],[Nom Article]],Tableau4[Type],"Entrée")-SUMIFS(Tableau4[Quantité],Tableau4[Article],Tableau2[[#This Row],[Nom Article]],Tableau4[Type],"Sortie")</calculatedColumnFormula>
    </tableColumn>
    <tableColumn id="6" name="valeur du stock" dataDxfId="31">
      <calculatedColumnFormula>Tableau2[[#This Row],[Stock]]*Tableau2[[#This Row],[Prix unitaire]]</calculatedColumnFormula>
    </tableColumn>
    <tableColumn id="7" name="stock minimal" dataDxfId="30"/>
    <tableColumn id="8" name="état" dataDxfId="29">
      <calculatedColumnFormula>IF(Tableau2[[#This Row],[Stock]]&lt;Tableau2[[#This Row],[stock minimal]],"Besoin","Suffit")</calculatedColumnFormula>
    </tableColumn>
    <tableColumn id="9" name="statut" dataDxfId="28"/>
    <tableColumn id="10" name="vid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Tableau4" displayName="Tableau4" ref="B7:H36" totalsRowShown="0" headerRowDxfId="26">
  <sortState ref="B8:H36">
    <sortCondition descending="1" ref="H8"/>
  </sortState>
  <tableColumns count="7">
    <tableColumn id="1" name="Type" dataDxfId="25"/>
    <tableColumn id="2" name="N° facture"/>
    <tableColumn id="3" name="Article" dataDxfId="24"/>
    <tableColumn id="4" name="Quantité" dataDxfId="23"/>
    <tableColumn id="5" name="Prix unitaire" dataDxfId="22">
      <calculatedColumnFormula>INDEX(Tableau2[[Nom Article]:[Prix unitaire]],MATCH(Tableau4[[#This Row],[Article]],Tableau2[Nom Article],0),4)</calculatedColumnFormula>
    </tableColumn>
    <tableColumn id="6" name="total" dataDxfId="21">
      <calculatedColumnFormula>Tableau4[[#This Row],[Prix unitaire]]*Tableau4[[#This Row],[Quantité]]</calculatedColumnFormula>
    </tableColumn>
    <tableColumn id="8" name="Date" dataDxfId="2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occhianab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showGridLines="0" showRowColHeaders="0" workbookViewId="0">
      <selection activeCell="H15" sqref="H15"/>
    </sheetView>
  </sheetViews>
  <sheetFormatPr baseColWidth="10" defaultRowHeight="15" x14ac:dyDescent="0.25"/>
  <cols>
    <col min="1" max="1" width="14" customWidth="1"/>
    <col min="2" max="2" width="11.5703125" customWidth="1"/>
    <col min="3" max="3" width="13.28515625" customWidth="1"/>
    <col min="4" max="4" width="14" customWidth="1"/>
    <col min="6" max="6" width="16.42578125" customWidth="1"/>
    <col min="7" max="7" width="15.42578125" customWidth="1"/>
    <col min="8" max="8" width="9.28515625" customWidth="1"/>
    <col min="11" max="19" width="4.42578125" customWidth="1"/>
    <col min="20" max="20" width="5.140625" customWidth="1"/>
    <col min="21" max="21" width="6.140625" customWidth="1"/>
  </cols>
  <sheetData>
    <row r="1" ht="42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7:K28"/>
  <sheetViews>
    <sheetView showGridLines="0" showRowColHeaders="0" workbookViewId="0">
      <selection activeCell="R13" sqref="R13"/>
    </sheetView>
  </sheetViews>
  <sheetFormatPr baseColWidth="10" defaultRowHeight="15" x14ac:dyDescent="0.25"/>
  <cols>
    <col min="1" max="1" width="1.7109375" customWidth="1"/>
    <col min="2" max="2" width="20.140625" customWidth="1"/>
    <col min="4" max="4" width="15.7109375" customWidth="1"/>
    <col min="5" max="5" width="12.42578125" customWidth="1"/>
    <col min="6" max="6" width="8.85546875" customWidth="1"/>
    <col min="7" max="7" width="15.140625" customWidth="1"/>
    <col min="8" max="8" width="13.7109375" customWidth="1"/>
    <col min="10" max="10" width="8.28515625" customWidth="1"/>
    <col min="11" max="11" width="4.85546875" customWidth="1"/>
    <col min="12" max="22" width="4.140625" customWidth="1"/>
  </cols>
  <sheetData>
    <row r="7" spans="2:11" x14ac:dyDescent="0.25">
      <c r="B7" s="1" t="s">
        <v>8</v>
      </c>
      <c r="C7" s="1" t="s">
        <v>1</v>
      </c>
      <c r="D7" s="1" t="s">
        <v>0</v>
      </c>
      <c r="E7" s="1" t="s">
        <v>2</v>
      </c>
      <c r="F7" s="1" t="s">
        <v>3</v>
      </c>
      <c r="G7" s="1" t="s">
        <v>9</v>
      </c>
      <c r="H7" s="1" t="s">
        <v>4</v>
      </c>
      <c r="I7" s="1" t="s">
        <v>5</v>
      </c>
      <c r="J7" s="1" t="s">
        <v>6</v>
      </c>
      <c r="K7" s="1" t="s">
        <v>7</v>
      </c>
    </row>
    <row r="8" spans="2:11" x14ac:dyDescent="0.25">
      <c r="B8" s="1" t="s">
        <v>39</v>
      </c>
      <c r="C8" s="1" t="s">
        <v>13</v>
      </c>
      <c r="D8" s="1" t="s">
        <v>43</v>
      </c>
      <c r="E8" s="6">
        <v>100</v>
      </c>
      <c r="F8" s="2">
        <f>SUMIFS(Tableau4[Quantité],Tableau4[Article],Tableau2[[#This Row],[Nom Article]],Tableau4[Type],"Entrée")-SUMIFS(Tableau4[Quantité],Tableau4[Article],Tableau2[[#This Row],[Nom Article]],Tableau4[Type],"Sortie")</f>
        <v>7</v>
      </c>
      <c r="G8" s="5">
        <f>Tableau2[[#This Row],[Stock]]*Tableau2[[#This Row],[Prix unitaire]]</f>
        <v>700</v>
      </c>
      <c r="H8" s="1">
        <v>20</v>
      </c>
      <c r="I8" s="3" t="str">
        <f>IF(Tableau2[[#This Row],[Stock]]&lt;Tableau2[[#This Row],[stock minimal]],"Besoin","Suffit")</f>
        <v>Besoin</v>
      </c>
      <c r="J8" s="1" t="s">
        <v>14</v>
      </c>
      <c r="K8" s="1"/>
    </row>
    <row r="9" spans="2:11" x14ac:dyDescent="0.25">
      <c r="B9" s="1" t="s">
        <v>44</v>
      </c>
      <c r="C9" s="1" t="s">
        <v>15</v>
      </c>
      <c r="D9" s="1" t="s">
        <v>45</v>
      </c>
      <c r="E9" s="6">
        <v>1000</v>
      </c>
      <c r="F9" s="2">
        <f>SUMIFS(Tableau4[Quantité],Tableau4[Article],Tableau2[[#This Row],[Nom Article]],Tableau4[Type],"Entrée")-SUMIFS(Tableau4[Quantité],Tableau4[Article],Tableau2[[#This Row],[Nom Article]],Tableau4[Type],"Sortie")</f>
        <v>14</v>
      </c>
      <c r="G9" s="5">
        <f>Tableau2[[#This Row],[Stock]]*Tableau2[[#This Row],[Prix unitaire]]</f>
        <v>14000</v>
      </c>
      <c r="H9" s="1">
        <v>10</v>
      </c>
      <c r="I9" s="3" t="str">
        <f>IF(Tableau2[[#This Row],[Stock]]&lt;Tableau2[[#This Row],[stock minimal]],"Besoin","Suffit")</f>
        <v>Suffit</v>
      </c>
      <c r="J9" s="1" t="s">
        <v>14</v>
      </c>
      <c r="K9" s="1"/>
    </row>
    <row r="10" spans="2:11" x14ac:dyDescent="0.25">
      <c r="B10" s="1" t="s">
        <v>46</v>
      </c>
      <c r="C10" s="1" t="s">
        <v>16</v>
      </c>
      <c r="D10" s="1" t="s">
        <v>47</v>
      </c>
      <c r="E10" s="6">
        <v>1000</v>
      </c>
      <c r="F10" s="2">
        <f>SUMIFS(Tableau4[Quantité],Tableau4[Article],Tableau2[[#This Row],[Nom Article]],Tableau4[Type],"Entrée")-SUMIFS(Tableau4[Quantité],Tableau4[Article],Tableau2[[#This Row],[Nom Article]],Tableau4[Type],"Sortie")</f>
        <v>6</v>
      </c>
      <c r="G10" s="5">
        <f>Tableau2[[#This Row],[Stock]]*Tableau2[[#This Row],[Prix unitaire]]</f>
        <v>6000</v>
      </c>
      <c r="H10" s="1">
        <v>5</v>
      </c>
      <c r="I10" s="3" t="str">
        <f>IF(Tableau2[[#This Row],[Stock]]&lt;Tableau2[[#This Row],[stock minimal]],"Besoin","Suffit")</f>
        <v>Suffit</v>
      </c>
      <c r="J10" s="1" t="s">
        <v>14</v>
      </c>
      <c r="K10" s="1"/>
    </row>
    <row r="11" spans="2:11" ht="45" x14ac:dyDescent="0.25">
      <c r="B11" s="1" t="s">
        <v>48</v>
      </c>
      <c r="C11" s="1" t="s">
        <v>17</v>
      </c>
      <c r="D11" s="8" t="s">
        <v>49</v>
      </c>
      <c r="E11" s="6">
        <v>2000</v>
      </c>
      <c r="F11" s="2">
        <f>SUMIFS(Tableau4[Quantité],Tableau4[Article],Tableau2[[#This Row],[Nom Article]],Tableau4[Type],"Entrée")-SUMIFS(Tableau4[Quantité],Tableau4[Article],Tableau2[[#This Row],[Nom Article]],Tableau4[Type],"Sortie")</f>
        <v>-2</v>
      </c>
      <c r="G11" s="5">
        <f>Tableau2[[#This Row],[Stock]]*Tableau2[[#This Row],[Prix unitaire]]</f>
        <v>-4000</v>
      </c>
      <c r="H11" s="1">
        <v>2</v>
      </c>
      <c r="I11" s="3" t="str">
        <f>IF(Tableau2[[#This Row],[Stock]]&lt;Tableau2[[#This Row],[stock minimal]],"Besoin","Suffit")</f>
        <v>Besoin</v>
      </c>
      <c r="J11" s="1" t="s">
        <v>14</v>
      </c>
      <c r="K11" s="1"/>
    </row>
    <row r="12" spans="2:11" x14ac:dyDescent="0.25">
      <c r="B12" s="1" t="s">
        <v>50</v>
      </c>
      <c r="C12" s="1" t="s">
        <v>18</v>
      </c>
      <c r="D12" s="1" t="s">
        <v>51</v>
      </c>
      <c r="E12" s="6">
        <v>100</v>
      </c>
      <c r="F12" s="2">
        <f>SUMIFS(Tableau4[Quantité],Tableau4[Article],Tableau2[[#This Row],[Nom Article]],Tableau4[Type],"Entrée")-SUMIFS(Tableau4[Quantité],Tableau4[Article],Tableau2[[#This Row],[Nom Article]],Tableau4[Type],"Sortie")</f>
        <v>13</v>
      </c>
      <c r="G12" s="5">
        <f>Tableau2[[#This Row],[Stock]]*Tableau2[[#This Row],[Prix unitaire]]</f>
        <v>1300</v>
      </c>
      <c r="H12" s="1">
        <v>10</v>
      </c>
      <c r="I12" s="3" t="str">
        <f>IF(Tableau2[[#This Row],[Stock]]&lt;Tableau2[[#This Row],[stock minimal]],"Besoin","Suffit")</f>
        <v>Suffit</v>
      </c>
      <c r="J12" s="1" t="s">
        <v>14</v>
      </c>
      <c r="K12" s="1"/>
    </row>
    <row r="13" spans="2:11" ht="30" x14ac:dyDescent="0.25">
      <c r="B13" s="1" t="s">
        <v>52</v>
      </c>
      <c r="C13" s="1" t="s">
        <v>19</v>
      </c>
      <c r="D13" s="8" t="s">
        <v>53</v>
      </c>
      <c r="E13" s="6">
        <v>300</v>
      </c>
      <c r="F13" s="2">
        <f>SUMIFS(Tableau4[Quantité],Tableau4[Article],Tableau2[[#This Row],[Nom Article]],Tableau4[Type],"Entrée")-SUMIFS(Tableau4[Quantité],Tableau4[Article],Tableau2[[#This Row],[Nom Article]],Tableau4[Type],"Sortie")</f>
        <v>-6</v>
      </c>
      <c r="G13" s="5">
        <f>Tableau2[[#This Row],[Stock]]*Tableau2[[#This Row],[Prix unitaire]]</f>
        <v>-1800</v>
      </c>
      <c r="H13" s="1">
        <v>4</v>
      </c>
      <c r="I13" s="3" t="str">
        <f>IF(Tableau2[[#This Row],[Stock]]&lt;Tableau2[[#This Row],[stock minimal]],"Besoin","Suffit")</f>
        <v>Besoin</v>
      </c>
      <c r="J13" s="1" t="s">
        <v>14</v>
      </c>
      <c r="K13" s="1"/>
    </row>
    <row r="14" spans="2:11" x14ac:dyDescent="0.25">
      <c r="B14" s="1" t="s">
        <v>54</v>
      </c>
      <c r="C14" s="1" t="s">
        <v>40</v>
      </c>
      <c r="D14" s="1" t="s">
        <v>54</v>
      </c>
      <c r="E14" s="6">
        <v>1500</v>
      </c>
      <c r="F14" s="2">
        <f>SUMIFS(Tableau4[Quantité],Tableau4[Article],Tableau2[[#This Row],[Nom Article]],Tableau4[Type],"Entrée")-SUMIFS(Tableau4[Quantité],Tableau4[Article],Tableau2[[#This Row],[Nom Article]],Tableau4[Type],"Sortie")</f>
        <v>-2</v>
      </c>
      <c r="G14" s="5">
        <f>Tableau2[[#This Row],[Stock]]*Tableau2[[#This Row],[Prix unitaire]]</f>
        <v>-3000</v>
      </c>
      <c r="H14" s="1">
        <v>10</v>
      </c>
      <c r="I14" s="3" t="str">
        <f>IF(Tableau2[[#This Row],[Stock]]&lt;Tableau2[[#This Row],[stock minimal]],"Besoin","Suffit")</f>
        <v>Besoin</v>
      </c>
      <c r="J14" s="1" t="s">
        <v>14</v>
      </c>
      <c r="K14" s="1"/>
    </row>
    <row r="15" spans="2:11" ht="45" x14ac:dyDescent="0.25">
      <c r="B15" s="1" t="s">
        <v>55</v>
      </c>
      <c r="C15" s="1" t="s">
        <v>41</v>
      </c>
      <c r="D15" s="8" t="s">
        <v>56</v>
      </c>
      <c r="E15" s="6">
        <v>150000</v>
      </c>
      <c r="F15" s="2">
        <f>SUMIFS(Tableau4[Quantité],Tableau4[Article],Tableau2[[#This Row],[Nom Article]],Tableau4[Type],"Entrée")-SUMIFS(Tableau4[Quantité],Tableau4[Article],Tableau2[[#This Row],[Nom Article]],Tableau4[Type],"Sortie")</f>
        <v>0</v>
      </c>
      <c r="G15" s="5">
        <f>Tableau2[[#This Row],[Stock]]*Tableau2[[#This Row],[Prix unitaire]]</f>
        <v>0</v>
      </c>
      <c r="H15" s="1">
        <v>2</v>
      </c>
      <c r="I15" s="3" t="str">
        <f>IF(Tableau2[[#This Row],[Stock]]&lt;Tableau2[[#This Row],[stock minimal]],"Besoin","Suffit")</f>
        <v>Besoin</v>
      </c>
      <c r="J15" s="1" t="s">
        <v>14</v>
      </c>
      <c r="K15" s="1"/>
    </row>
    <row r="16" spans="2:11" ht="45" x14ac:dyDescent="0.25">
      <c r="B16" s="1" t="s">
        <v>58</v>
      </c>
      <c r="C16" s="1" t="s">
        <v>42</v>
      </c>
      <c r="D16" s="8" t="s">
        <v>59</v>
      </c>
      <c r="E16" s="6">
        <v>25000</v>
      </c>
      <c r="F16" s="2">
        <f>SUMIFS(Tableau4[Quantité],Tableau4[Article],Tableau2[[#This Row],[Nom Article]],Tableau4[Type],"Entrée")-SUMIFS(Tableau4[Quantité],Tableau4[Article],Tableau2[[#This Row],[Nom Article]],Tableau4[Type],"Sortie")</f>
        <v>7</v>
      </c>
      <c r="G16" s="5">
        <f>Tableau2[[#This Row],[Stock]]*Tableau2[[#This Row],[Prix unitaire]]</f>
        <v>175000</v>
      </c>
      <c r="H16" s="1">
        <v>10</v>
      </c>
      <c r="I16" s="3" t="str">
        <f>IF(Tableau2[[#This Row],[Stock]]&lt;Tableau2[[#This Row],[stock minimal]],"Besoin","Suffit")</f>
        <v>Besoin</v>
      </c>
      <c r="J16" s="1" t="s">
        <v>14</v>
      </c>
      <c r="K16" s="1"/>
    </row>
    <row r="17" spans="2:11" x14ac:dyDescent="0.25">
      <c r="B17" s="1" t="s">
        <v>68</v>
      </c>
      <c r="C17" s="1" t="s">
        <v>67</v>
      </c>
      <c r="D17" s="1" t="s">
        <v>68</v>
      </c>
      <c r="E17" s="6">
        <v>10000</v>
      </c>
      <c r="F17" s="2">
        <f>SUMIFS(Tableau4[Quantité],Tableau4[Article],Tableau2[[#This Row],[Nom Article]],Tableau4[Type],"Entrée")-SUMIFS(Tableau4[Quantité],Tableau4[Article],Tableau2[[#This Row],[Nom Article]],Tableau4[Type],"Sortie")</f>
        <v>7</v>
      </c>
      <c r="G17" s="5">
        <f>Tableau2[[#This Row],[Stock]]*Tableau2[[#This Row],[Prix unitaire]]</f>
        <v>70000</v>
      </c>
      <c r="H17" s="1">
        <v>5</v>
      </c>
      <c r="I17" s="3" t="str">
        <f>IF(Tableau2[[#This Row],[Stock]]&lt;Tableau2[[#This Row],[stock minimal]],"Besoin","Suffit")</f>
        <v>Suffit</v>
      </c>
      <c r="J17" s="1" t="s">
        <v>14</v>
      </c>
      <c r="K17" s="1"/>
    </row>
    <row r="18" spans="2:11" x14ac:dyDescent="0.25">
      <c r="B18" s="1" t="s">
        <v>78</v>
      </c>
      <c r="C18" s="1" t="s">
        <v>77</v>
      </c>
      <c r="D18" s="1" t="s">
        <v>79</v>
      </c>
      <c r="E18" s="6">
        <v>600</v>
      </c>
      <c r="F18" s="2">
        <f>SUMIFS(Tableau4[Quantité],Tableau4[Article],Tableau2[[#This Row],[Nom Article]],Tableau4[Type],"Entrée")-SUMIFS(Tableau4[Quantité],Tableau4[Article],Tableau2[[#This Row],[Nom Article]],Tableau4[Type],"Sortie")</f>
        <v>20</v>
      </c>
      <c r="G18" s="5">
        <f>Tableau2[[#This Row],[Stock]]*Tableau2[[#This Row],[Prix unitaire]]</f>
        <v>12000</v>
      </c>
      <c r="H18" s="1">
        <v>5</v>
      </c>
      <c r="I18" s="3" t="str">
        <f>IF(Tableau2[[#This Row],[Stock]]&lt;Tableau2[[#This Row],[stock minimal]],"Besoin","Suffit")</f>
        <v>Suffit</v>
      </c>
      <c r="J18" s="1" t="s">
        <v>14</v>
      </c>
      <c r="K18" s="1"/>
    </row>
    <row r="19" spans="2:11" x14ac:dyDescent="0.25">
      <c r="B19" s="1" t="s">
        <v>81</v>
      </c>
      <c r="C19" s="1" t="s">
        <v>80</v>
      </c>
      <c r="D19" s="1" t="s">
        <v>82</v>
      </c>
      <c r="E19" s="6">
        <v>300</v>
      </c>
      <c r="F19" s="2">
        <f>SUMIFS(Tableau4[Quantité],Tableau4[Article],Tableau2[[#This Row],[Nom Article]],Tableau4[Type],"Entrée")-SUMIFS(Tableau4[Quantité],Tableau4[Article],Tableau2[[#This Row],[Nom Article]],Tableau4[Type],"Sortie")</f>
        <v>15</v>
      </c>
      <c r="G19" s="5">
        <f>Tableau2[[#This Row],[Stock]]*Tableau2[[#This Row],[Prix unitaire]]</f>
        <v>4500</v>
      </c>
      <c r="H19" s="1">
        <v>8</v>
      </c>
      <c r="I19" s="3" t="str">
        <f>IF(Tableau2[[#This Row],[Stock]]&lt;Tableau2[[#This Row],[stock minimal]],"Besoin","Suffit")</f>
        <v>Suffit</v>
      </c>
      <c r="J19" s="1" t="s">
        <v>14</v>
      </c>
      <c r="K19" s="1"/>
    </row>
    <row r="28" spans="2:11" x14ac:dyDescent="0.25">
      <c r="D28">
        <v>42500</v>
      </c>
    </row>
  </sheetData>
  <conditionalFormatting sqref="I8:I19">
    <cfRule type="cellIs" dxfId="2" priority="4" operator="equal">
      <formula>"Suffit"</formula>
    </cfRule>
    <cfRule type="cellIs" dxfId="1" priority="5" operator="equal">
      <formula>"Besoin"</formula>
    </cfRule>
  </conditionalFormatting>
  <conditionalFormatting sqref="K8:K19">
    <cfRule type="expression" dxfId="0" priority="3">
      <formula>$F8=0</formula>
    </cfRule>
  </conditionalFormatting>
  <dataValidations count="2">
    <dataValidation type="list" allowBlank="1" showInputMessage="1" showErrorMessage="1" sqref="I8:I19">
      <formula1>"Besoin,Suffit"</formula1>
    </dataValidation>
    <dataValidation type="list" allowBlank="1" showInputMessage="1" showErrorMessage="1" sqref="J8:J19">
      <formula1>"actif,inactif"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7:K36"/>
  <sheetViews>
    <sheetView showGridLines="0" showRowColHeaders="0" workbookViewId="0">
      <selection activeCell="K16" sqref="K16"/>
    </sheetView>
  </sheetViews>
  <sheetFormatPr baseColWidth="10" defaultRowHeight="15" x14ac:dyDescent="0.25"/>
  <cols>
    <col min="3" max="3" width="13.140625" customWidth="1"/>
    <col min="4" max="4" width="16.140625" customWidth="1"/>
    <col min="5" max="5" width="12.42578125" customWidth="1"/>
    <col min="6" max="6" width="15.7109375" customWidth="1"/>
    <col min="11" max="11" width="21" bestFit="1" customWidth="1"/>
    <col min="12" max="12" width="23.85546875" bestFit="1" customWidth="1"/>
    <col min="13" max="13" width="7" customWidth="1"/>
    <col min="14" max="14" width="12.5703125" bestFit="1" customWidth="1"/>
  </cols>
  <sheetData>
    <row r="7" spans="2:11" ht="18.75" x14ac:dyDescent="0.25">
      <c r="B7" s="20" t="s">
        <v>33</v>
      </c>
      <c r="C7" s="20" t="s">
        <v>34</v>
      </c>
      <c r="D7" s="20" t="s">
        <v>12</v>
      </c>
      <c r="E7" s="20" t="s">
        <v>35</v>
      </c>
      <c r="F7" s="20" t="s">
        <v>2</v>
      </c>
      <c r="G7" s="20" t="s">
        <v>36</v>
      </c>
      <c r="H7" s="20" t="s">
        <v>20</v>
      </c>
    </row>
    <row r="8" spans="2:11" x14ac:dyDescent="0.25">
      <c r="B8" s="19" t="s">
        <v>38</v>
      </c>
      <c r="C8" t="s">
        <v>83</v>
      </c>
      <c r="D8" s="19" t="s">
        <v>81</v>
      </c>
      <c r="E8" s="19">
        <v>17</v>
      </c>
      <c r="F8" s="18">
        <f>INDEX(Tableau2[[Nom Article]:[Prix unitaire]],MATCH(Tableau4[[#This Row],[Article]],Tableau2[Nom Article],0),4)</f>
        <v>300</v>
      </c>
      <c r="G8" s="5">
        <f>Tableau4[[#This Row],[Prix unitaire]]*Tableau4[[#This Row],[Quantité]]</f>
        <v>5100</v>
      </c>
      <c r="H8" s="4" t="s">
        <v>84</v>
      </c>
    </row>
    <row r="9" spans="2:11" x14ac:dyDescent="0.25">
      <c r="B9" s="19" t="s">
        <v>38</v>
      </c>
      <c r="C9" t="s">
        <v>83</v>
      </c>
      <c r="D9" s="19" t="s">
        <v>78</v>
      </c>
      <c r="E9" s="19">
        <v>29</v>
      </c>
      <c r="F9" s="18">
        <f>INDEX(Tableau2[[Nom Article]:[Prix unitaire]],MATCH(Tableau4[[#This Row],[Article]],Tableau2[Nom Article],0),4)</f>
        <v>600</v>
      </c>
      <c r="G9" s="5">
        <f>Tableau4[[#This Row],[Prix unitaire]]*Tableau4[[#This Row],[Quantité]]</f>
        <v>17400</v>
      </c>
      <c r="H9" s="4" t="s">
        <v>84</v>
      </c>
      <c r="I9" s="7"/>
      <c r="J9" s="4"/>
      <c r="K9" s="4"/>
    </row>
    <row r="10" spans="2:11" x14ac:dyDescent="0.25">
      <c r="B10" s="19" t="s">
        <v>57</v>
      </c>
      <c r="C10" t="s">
        <v>85</v>
      </c>
      <c r="D10" s="19" t="s">
        <v>78</v>
      </c>
      <c r="E10" s="19">
        <v>9</v>
      </c>
      <c r="F10" s="18">
        <f>INDEX(Tableau2[[Nom Article]:[Prix unitaire]],MATCH(Tableau4[[#This Row],[Article]],Tableau2[Nom Article],0),4)</f>
        <v>600</v>
      </c>
      <c r="G10" s="5">
        <f>Tableau4[[#This Row],[Prix unitaire]]*Tableau4[[#This Row],[Quantité]]</f>
        <v>5400</v>
      </c>
      <c r="H10" s="4" t="s">
        <v>84</v>
      </c>
      <c r="I10" s="7"/>
      <c r="J10" s="4"/>
      <c r="K10" s="4"/>
    </row>
    <row r="11" spans="2:11" x14ac:dyDescent="0.25">
      <c r="B11" s="19" t="s">
        <v>57</v>
      </c>
      <c r="C11" t="s">
        <v>85</v>
      </c>
      <c r="D11" s="19" t="s">
        <v>81</v>
      </c>
      <c r="E11" s="19">
        <v>2</v>
      </c>
      <c r="F11" s="18">
        <f>INDEX(Tableau2[[Nom Article]:[Prix unitaire]],MATCH(Tableau4[[#This Row],[Article]],Tableau2[Nom Article],0),4)</f>
        <v>300</v>
      </c>
      <c r="G11" s="5">
        <f>Tableau4[[#This Row],[Prix unitaire]]*Tableau4[[#This Row],[Quantité]]</f>
        <v>600</v>
      </c>
      <c r="H11" s="4" t="s">
        <v>84</v>
      </c>
      <c r="I11" s="7"/>
      <c r="J11" s="4"/>
      <c r="K11" s="4"/>
    </row>
    <row r="12" spans="2:11" x14ac:dyDescent="0.25">
      <c r="B12" s="19" t="s">
        <v>38</v>
      </c>
      <c r="C12" t="s">
        <v>69</v>
      </c>
      <c r="D12" s="19" t="s">
        <v>68</v>
      </c>
      <c r="E12" s="19">
        <v>9</v>
      </c>
      <c r="F12" s="18">
        <f>INDEX(Tableau2[[Nom Article]:[Prix unitaire]],MATCH(Tableau4[[#This Row],[Article]],Tableau2[Nom Article],0),4)</f>
        <v>10000</v>
      </c>
      <c r="G12" s="5">
        <f>Tableau4[[#This Row],[Prix unitaire]]*Tableau4[[#This Row],[Quantité]]</f>
        <v>90000</v>
      </c>
      <c r="H12" s="4" t="s">
        <v>70</v>
      </c>
      <c r="I12" s="7"/>
      <c r="J12" s="4"/>
      <c r="K12" s="4"/>
    </row>
    <row r="13" spans="2:11" x14ac:dyDescent="0.25">
      <c r="B13" s="19" t="s">
        <v>38</v>
      </c>
      <c r="C13" t="s">
        <v>71</v>
      </c>
      <c r="D13" s="19" t="s">
        <v>46</v>
      </c>
      <c r="E13" s="19">
        <v>2</v>
      </c>
      <c r="F13" s="18">
        <f>INDEX(Tableau2[[Nom Article]:[Prix unitaire]],MATCH(Tableau4[[#This Row],[Article]],Tableau2[Nom Article],0),4)</f>
        <v>1000</v>
      </c>
      <c r="G13" s="5">
        <f>Tableau4[[#This Row],[Prix unitaire]]*Tableau4[[#This Row],[Quantité]]</f>
        <v>2000</v>
      </c>
      <c r="H13" s="4" t="s">
        <v>70</v>
      </c>
      <c r="I13" s="7"/>
      <c r="J13" s="4"/>
      <c r="K13" s="4"/>
    </row>
    <row r="14" spans="2:11" x14ac:dyDescent="0.25">
      <c r="B14" s="19" t="s">
        <v>57</v>
      </c>
      <c r="C14" t="s">
        <v>76</v>
      </c>
      <c r="D14" s="19" t="s">
        <v>68</v>
      </c>
      <c r="E14" s="19">
        <v>2</v>
      </c>
      <c r="F14" s="18">
        <f>INDEX(Tableau2[[Nom Article]:[Prix unitaire]],MATCH(Tableau4[[#This Row],[Article]],Tableau2[Nom Article],0),4)</f>
        <v>10000</v>
      </c>
      <c r="G14" s="5">
        <f>Tableau4[[#This Row],[Prix unitaire]]*Tableau4[[#This Row],[Quantité]]</f>
        <v>20000</v>
      </c>
      <c r="H14" s="4" t="s">
        <v>70</v>
      </c>
      <c r="I14" s="7"/>
      <c r="J14" s="4"/>
      <c r="K14" s="4"/>
    </row>
    <row r="15" spans="2:11" x14ac:dyDescent="0.25">
      <c r="B15" s="19" t="s">
        <v>38</v>
      </c>
      <c r="C15" t="s">
        <v>63</v>
      </c>
      <c r="D15" s="19" t="s">
        <v>44</v>
      </c>
      <c r="E15" s="19">
        <v>8</v>
      </c>
      <c r="F15" s="18">
        <f>INDEX(Tableau2[[Nom Article]:[Prix unitaire]],MATCH(Tableau4[[#This Row],[Article]],Tableau2[Nom Article],0),4)</f>
        <v>1000</v>
      </c>
      <c r="G15" s="5">
        <f>Tableau4[[#This Row],[Prix unitaire]]*Tableau4[[#This Row],[Quantité]]</f>
        <v>8000</v>
      </c>
      <c r="H15" s="4" t="s">
        <v>64</v>
      </c>
      <c r="I15" s="7"/>
      <c r="J15" s="4"/>
      <c r="K15" s="4"/>
    </row>
    <row r="16" spans="2:11" x14ac:dyDescent="0.25">
      <c r="B16" s="19" t="s">
        <v>38</v>
      </c>
      <c r="C16" t="s">
        <v>63</v>
      </c>
      <c r="D16" s="19" t="s">
        <v>55</v>
      </c>
      <c r="E16" s="19">
        <v>2</v>
      </c>
      <c r="F16" s="18">
        <f>INDEX(Tableau2[[Nom Article]:[Prix unitaire]],MATCH(Tableau4[[#This Row],[Article]],Tableau2[Nom Article],0),4)</f>
        <v>150000</v>
      </c>
      <c r="G16" s="5">
        <f>Tableau4[[#This Row],[Prix unitaire]]*Tableau4[[#This Row],[Quantité]]</f>
        <v>300000</v>
      </c>
      <c r="H16" s="4" t="s">
        <v>64</v>
      </c>
      <c r="I16" s="7"/>
      <c r="J16" s="4"/>
      <c r="K16" s="4"/>
    </row>
    <row r="17" spans="2:11" x14ac:dyDescent="0.25">
      <c r="B17" s="19" t="s">
        <v>38</v>
      </c>
      <c r="C17" t="s">
        <v>63</v>
      </c>
      <c r="D17" s="19" t="s">
        <v>50</v>
      </c>
      <c r="E17" s="19">
        <v>9</v>
      </c>
      <c r="F17" s="18">
        <f>INDEX(Tableau2[[Nom Article]:[Prix unitaire]],MATCH(Tableau4[[#This Row],[Article]],Tableau2[Nom Article],0),4)</f>
        <v>100</v>
      </c>
      <c r="G17" s="5">
        <f>Tableau4[[#This Row],[Prix unitaire]]*Tableau4[[#This Row],[Quantité]]</f>
        <v>900</v>
      </c>
      <c r="H17" s="4" t="s">
        <v>64</v>
      </c>
    </row>
    <row r="18" spans="2:11" x14ac:dyDescent="0.25">
      <c r="B18" s="19" t="s">
        <v>38</v>
      </c>
      <c r="C18" t="s">
        <v>63</v>
      </c>
      <c r="D18" s="19" t="s">
        <v>58</v>
      </c>
      <c r="E18" s="19">
        <v>2</v>
      </c>
      <c r="F18" s="18">
        <f>INDEX(Tableau2[[Nom Article]:[Prix unitaire]],MATCH(Tableau4[[#This Row],[Article]],Tableau2[Nom Article],0),4)</f>
        <v>25000</v>
      </c>
      <c r="G18" s="5">
        <f>Tableau4[[#This Row],[Prix unitaire]]*Tableau4[[#This Row],[Quantité]]</f>
        <v>50000</v>
      </c>
      <c r="H18" s="4" t="s">
        <v>64</v>
      </c>
    </row>
    <row r="19" spans="2:11" x14ac:dyDescent="0.25">
      <c r="B19" s="19" t="s">
        <v>57</v>
      </c>
      <c r="C19" t="s">
        <v>65</v>
      </c>
      <c r="D19" s="19" t="s">
        <v>52</v>
      </c>
      <c r="E19" s="19">
        <v>9</v>
      </c>
      <c r="F19" s="18">
        <f>INDEX(Tableau2[[Nom Article]:[Prix unitaire]],MATCH(Tableau4[[#This Row],[Article]],Tableau2[Nom Article],0),4)</f>
        <v>300</v>
      </c>
      <c r="G19" s="5">
        <f>Tableau4[[#This Row],[Prix unitaire]]*Tableau4[[#This Row],[Quantité]]</f>
        <v>2700</v>
      </c>
      <c r="H19" s="4" t="s">
        <v>64</v>
      </c>
    </row>
    <row r="20" spans="2:11" x14ac:dyDescent="0.25">
      <c r="B20" s="19" t="s">
        <v>57</v>
      </c>
      <c r="C20" t="s">
        <v>65</v>
      </c>
      <c r="D20" s="19" t="s">
        <v>54</v>
      </c>
      <c r="E20" s="19">
        <v>4</v>
      </c>
      <c r="F20" s="18">
        <f>INDEX(Tableau2[[Nom Article]:[Prix unitaire]],MATCH(Tableau4[[#This Row],[Article]],Tableau2[Nom Article],0),4)</f>
        <v>1500</v>
      </c>
      <c r="G20" s="5">
        <f>Tableau4[[#This Row],[Prix unitaire]]*Tableau4[[#This Row],[Quantité]]</f>
        <v>6000</v>
      </c>
      <c r="H20" s="4" t="s">
        <v>64</v>
      </c>
    </row>
    <row r="21" spans="2:11" x14ac:dyDescent="0.25">
      <c r="B21" s="19" t="s">
        <v>57</v>
      </c>
      <c r="C21" t="s">
        <v>65</v>
      </c>
      <c r="D21" s="19" t="s">
        <v>55</v>
      </c>
      <c r="E21" s="19">
        <v>1</v>
      </c>
      <c r="F21" s="18">
        <f>INDEX(Tableau2[[Nom Article]:[Prix unitaire]],MATCH(Tableau4[[#This Row],[Article]],Tableau2[Nom Article],0),4)</f>
        <v>150000</v>
      </c>
      <c r="G21" s="5">
        <f>Tableau4[[#This Row],[Prix unitaire]]*Tableau4[[#This Row],[Quantité]]</f>
        <v>150000</v>
      </c>
      <c r="H21" s="4" t="s">
        <v>64</v>
      </c>
    </row>
    <row r="22" spans="2:11" x14ac:dyDescent="0.25">
      <c r="B22" s="19" t="s">
        <v>57</v>
      </c>
      <c r="C22" t="s">
        <v>66</v>
      </c>
      <c r="D22" s="19" t="s">
        <v>46</v>
      </c>
      <c r="E22" s="19">
        <v>2</v>
      </c>
      <c r="F22" s="18">
        <f>INDEX(Tableau2[[Nom Article]:[Prix unitaire]],MATCH(Tableau4[[#This Row],[Article]],Tableau2[Nom Article],0),4)</f>
        <v>1000</v>
      </c>
      <c r="G22" s="5">
        <f>Tableau4[[#This Row],[Prix unitaire]]*Tableau4[[#This Row],[Quantité]]</f>
        <v>2000</v>
      </c>
      <c r="H22" s="4" t="s">
        <v>64</v>
      </c>
    </row>
    <row r="23" spans="2:11" x14ac:dyDescent="0.25">
      <c r="B23" s="19" t="s">
        <v>57</v>
      </c>
      <c r="C23" t="s">
        <v>66</v>
      </c>
      <c r="D23" s="19" t="s">
        <v>48</v>
      </c>
      <c r="E23" s="19">
        <v>7</v>
      </c>
      <c r="F23" s="18">
        <f>INDEX(Tableau2[[Nom Article]:[Prix unitaire]],MATCH(Tableau4[[#This Row],[Article]],Tableau2[Nom Article],0),4)</f>
        <v>2000</v>
      </c>
      <c r="G23" s="5">
        <f>Tableau4[[#This Row],[Prix unitaire]]*Tableau4[[#This Row],[Quantité]]</f>
        <v>14000</v>
      </c>
      <c r="H23" s="4" t="s">
        <v>64</v>
      </c>
    </row>
    <row r="24" spans="2:11" x14ac:dyDescent="0.25">
      <c r="B24" s="19" t="s">
        <v>57</v>
      </c>
      <c r="C24" t="s">
        <v>66</v>
      </c>
      <c r="D24" s="19" t="s">
        <v>55</v>
      </c>
      <c r="E24" s="19">
        <v>2</v>
      </c>
      <c r="F24" s="18">
        <f>INDEX(Tableau2[[Nom Article]:[Prix unitaire]],MATCH(Tableau4[[#This Row],[Article]],Tableau2[Nom Article],0),4)</f>
        <v>150000</v>
      </c>
      <c r="G24" s="5">
        <f>Tableau4[[#This Row],[Prix unitaire]]*Tableau4[[#This Row],[Quantité]]</f>
        <v>300000</v>
      </c>
      <c r="H24" s="4" t="s">
        <v>64</v>
      </c>
    </row>
    <row r="25" spans="2:11" x14ac:dyDescent="0.25">
      <c r="B25" s="19" t="s">
        <v>57</v>
      </c>
      <c r="C25" t="s">
        <v>66</v>
      </c>
      <c r="D25" s="19" t="s">
        <v>58</v>
      </c>
      <c r="E25" s="19">
        <v>4</v>
      </c>
      <c r="F25" s="18">
        <f>INDEX(Tableau2[[Nom Article]:[Prix unitaire]],MATCH(Tableau4[[#This Row],[Article]],Tableau2[Nom Article],0),4)</f>
        <v>25000</v>
      </c>
      <c r="G25" s="5">
        <f>Tableau4[[#This Row],[Prix unitaire]]*Tableau4[[#This Row],[Quantité]]</f>
        <v>100000</v>
      </c>
      <c r="H25" s="4" t="s">
        <v>64</v>
      </c>
      <c r="K25" s="4"/>
    </row>
    <row r="26" spans="2:11" x14ac:dyDescent="0.25">
      <c r="B26" s="19" t="s">
        <v>38</v>
      </c>
      <c r="C26" t="s">
        <v>37</v>
      </c>
      <c r="D26" s="19" t="s">
        <v>39</v>
      </c>
      <c r="E26" s="19">
        <v>8</v>
      </c>
      <c r="F26" s="18">
        <f>INDEX(Tableau2[[Nom Article]:[Prix unitaire]],MATCH(Tableau4[[#This Row],[Article]],Tableau2[Nom Article],0),4)</f>
        <v>100</v>
      </c>
      <c r="G26" s="5">
        <f>Tableau4[[#This Row],[Prix unitaire]]*Tableau4[[#This Row],[Quantité]]</f>
        <v>800</v>
      </c>
      <c r="H26" s="4" t="s">
        <v>60</v>
      </c>
    </row>
    <row r="27" spans="2:11" x14ac:dyDescent="0.25">
      <c r="B27" s="19" t="s">
        <v>38</v>
      </c>
      <c r="C27" t="s">
        <v>37</v>
      </c>
      <c r="D27" s="19" t="s">
        <v>44</v>
      </c>
      <c r="E27" s="19">
        <v>7</v>
      </c>
      <c r="F27" s="18">
        <f>INDEX(Tableau2[[Nom Article]:[Prix unitaire]],MATCH(Tableau4[[#This Row],[Article]],Tableau2[Nom Article],0),4)</f>
        <v>1000</v>
      </c>
      <c r="G27" s="5">
        <f>Tableau4[[#This Row],[Prix unitaire]]*Tableau4[[#This Row],[Quantité]]</f>
        <v>7000</v>
      </c>
      <c r="H27" s="4" t="s">
        <v>60</v>
      </c>
    </row>
    <row r="28" spans="2:11" x14ac:dyDescent="0.25">
      <c r="B28" s="19" t="s">
        <v>38</v>
      </c>
      <c r="C28" t="s">
        <v>37</v>
      </c>
      <c r="D28" s="19" t="s">
        <v>46</v>
      </c>
      <c r="E28" s="19">
        <v>6</v>
      </c>
      <c r="F28" s="18">
        <f>INDEX(Tableau2[[Nom Article]:[Prix unitaire]],MATCH(Tableau4[[#This Row],[Article]],Tableau2[Nom Article],0),4)</f>
        <v>1000</v>
      </c>
      <c r="G28" s="5">
        <f>Tableau4[[#This Row],[Prix unitaire]]*Tableau4[[#This Row],[Quantité]]</f>
        <v>6000</v>
      </c>
      <c r="H28" s="4" t="s">
        <v>60</v>
      </c>
    </row>
    <row r="29" spans="2:11" x14ac:dyDescent="0.25">
      <c r="B29" s="19" t="s">
        <v>38</v>
      </c>
      <c r="C29" t="s">
        <v>37</v>
      </c>
      <c r="D29" s="19" t="s">
        <v>48</v>
      </c>
      <c r="E29" s="19">
        <v>5</v>
      </c>
      <c r="F29" s="18">
        <f>INDEX(Tableau2[[Nom Article]:[Prix unitaire]],MATCH(Tableau4[[#This Row],[Article]],Tableau2[Nom Article],0),4)</f>
        <v>2000</v>
      </c>
      <c r="G29" s="5">
        <f>Tableau4[[#This Row],[Prix unitaire]]*Tableau4[[#This Row],[Quantité]]</f>
        <v>10000</v>
      </c>
      <c r="H29" s="4" t="s">
        <v>60</v>
      </c>
    </row>
    <row r="30" spans="2:11" x14ac:dyDescent="0.25">
      <c r="B30" s="19" t="s">
        <v>38</v>
      </c>
      <c r="C30" t="s">
        <v>37</v>
      </c>
      <c r="D30" s="19" t="s">
        <v>50</v>
      </c>
      <c r="E30" s="19">
        <v>4</v>
      </c>
      <c r="F30" s="18">
        <f>INDEX(Tableau2[[Nom Article]:[Prix unitaire]],MATCH(Tableau4[[#This Row],[Article]],Tableau2[Nom Article],0),4)</f>
        <v>100</v>
      </c>
      <c r="G30" s="5">
        <f>Tableau4[[#This Row],[Prix unitaire]]*Tableau4[[#This Row],[Quantité]]</f>
        <v>400</v>
      </c>
      <c r="H30" s="4" t="s">
        <v>60</v>
      </c>
    </row>
    <row r="31" spans="2:11" x14ac:dyDescent="0.25">
      <c r="B31" s="19" t="s">
        <v>38</v>
      </c>
      <c r="C31" t="s">
        <v>37</v>
      </c>
      <c r="D31" s="19" t="s">
        <v>52</v>
      </c>
      <c r="E31" s="19">
        <v>3</v>
      </c>
      <c r="F31" s="18">
        <f>INDEX(Tableau2[[Nom Article]:[Prix unitaire]],MATCH(Tableau4[[#This Row],[Article]],Tableau2[Nom Article],0),4)</f>
        <v>300</v>
      </c>
      <c r="G31" s="5">
        <f>Tableau4[[#This Row],[Prix unitaire]]*Tableau4[[#This Row],[Quantité]]</f>
        <v>900</v>
      </c>
      <c r="H31" s="4" t="s">
        <v>60</v>
      </c>
    </row>
    <row r="32" spans="2:11" x14ac:dyDescent="0.25">
      <c r="B32" s="19" t="s">
        <v>38</v>
      </c>
      <c r="C32" t="s">
        <v>37</v>
      </c>
      <c r="D32" s="19" t="s">
        <v>54</v>
      </c>
      <c r="E32" s="19">
        <v>2</v>
      </c>
      <c r="F32" s="18">
        <f>INDEX(Tableau2[[Nom Article]:[Prix unitaire]],MATCH(Tableau4[[#This Row],[Article]],Tableau2[Nom Article],0),4)</f>
        <v>1500</v>
      </c>
      <c r="G32" s="5">
        <f>Tableau4[[#This Row],[Prix unitaire]]*Tableau4[[#This Row],[Quantité]]</f>
        <v>3000</v>
      </c>
      <c r="H32" s="4" t="s">
        <v>60</v>
      </c>
    </row>
    <row r="33" spans="2:8" x14ac:dyDescent="0.25">
      <c r="B33" s="19" t="s">
        <v>38</v>
      </c>
      <c r="C33" t="s">
        <v>37</v>
      </c>
      <c r="D33" s="19" t="s">
        <v>55</v>
      </c>
      <c r="E33" s="19">
        <v>1</v>
      </c>
      <c r="F33" s="18">
        <f>INDEX(Tableau2[[Nom Article]:[Prix unitaire]],MATCH(Tableau4[[#This Row],[Article]],Tableau2[Nom Article],0),4)</f>
        <v>150000</v>
      </c>
      <c r="G33" s="5">
        <f>Tableau4[[#This Row],[Prix unitaire]]*Tableau4[[#This Row],[Quantité]]</f>
        <v>150000</v>
      </c>
      <c r="H33" s="4" t="s">
        <v>60</v>
      </c>
    </row>
    <row r="34" spans="2:8" x14ac:dyDescent="0.25">
      <c r="B34" s="19" t="s">
        <v>38</v>
      </c>
      <c r="C34" t="s">
        <v>37</v>
      </c>
      <c r="D34" s="19" t="s">
        <v>58</v>
      </c>
      <c r="E34" s="19">
        <v>9</v>
      </c>
      <c r="F34" s="18">
        <f>INDEX(Tableau2[[Nom Article]:[Prix unitaire]],MATCH(Tableau4[[#This Row],[Article]],Tableau2[Nom Article],0),4)</f>
        <v>25000</v>
      </c>
      <c r="G34" s="5">
        <f>Tableau4[[#This Row],[Prix unitaire]]*Tableau4[[#This Row],[Quantité]]</f>
        <v>225000</v>
      </c>
      <c r="H34" s="4" t="s">
        <v>60</v>
      </c>
    </row>
    <row r="35" spans="2:8" x14ac:dyDescent="0.25">
      <c r="B35" s="19" t="s">
        <v>57</v>
      </c>
      <c r="C35" t="s">
        <v>37</v>
      </c>
      <c r="D35" s="19" t="s">
        <v>39</v>
      </c>
      <c r="E35" s="19">
        <v>1</v>
      </c>
      <c r="F35" s="18">
        <f>INDEX(Tableau2[[Nom Article]:[Prix unitaire]],MATCH(Tableau4[[#This Row],[Article]],Tableau2[Nom Article],0),4)</f>
        <v>100</v>
      </c>
      <c r="G35" s="5">
        <f>Tableau4[[#This Row],[Prix unitaire]]*Tableau4[[#This Row],[Quantité]]</f>
        <v>100</v>
      </c>
      <c r="H35" s="4" t="s">
        <v>60</v>
      </c>
    </row>
    <row r="36" spans="2:8" x14ac:dyDescent="0.25">
      <c r="B36" s="19" t="s">
        <v>57</v>
      </c>
      <c r="C36" t="s">
        <v>37</v>
      </c>
      <c r="D36" s="19" t="s">
        <v>44</v>
      </c>
      <c r="E36" s="19">
        <v>1</v>
      </c>
      <c r="F36" s="18">
        <f>INDEX(Tableau2[[Nom Article]:[Prix unitaire]],MATCH(Tableau4[[#This Row],[Article]],Tableau2[Nom Article],0),4)</f>
        <v>1000</v>
      </c>
      <c r="G36" s="5">
        <f>Tableau4[[#This Row],[Prix unitaire]]*Tableau4[[#This Row],[Quantité]]</f>
        <v>1000</v>
      </c>
      <c r="H36" s="4" t="s">
        <v>60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7:D13"/>
  <sheetViews>
    <sheetView showGridLines="0" showRowColHeaders="0" tabSelected="1" workbookViewId="0">
      <selection activeCell="E18" sqref="E18"/>
    </sheetView>
  </sheetViews>
  <sheetFormatPr baseColWidth="10" defaultRowHeight="15" x14ac:dyDescent="0.25"/>
  <cols>
    <col min="2" max="2" width="19.85546875" customWidth="1"/>
    <col min="3" max="3" width="26.5703125" customWidth="1"/>
    <col min="4" max="4" width="39.7109375" customWidth="1"/>
    <col min="5" max="5" width="12.5703125" bestFit="1" customWidth="1"/>
  </cols>
  <sheetData>
    <row r="7" spans="2:4" ht="20.25" x14ac:dyDescent="0.3">
      <c r="B7" s="29" t="s">
        <v>62</v>
      </c>
      <c r="C7" s="31" t="s">
        <v>33</v>
      </c>
      <c r="D7" s="28"/>
    </row>
    <row r="8" spans="2:4" ht="20.25" x14ac:dyDescent="0.3">
      <c r="B8" s="29" t="s">
        <v>20</v>
      </c>
      <c r="C8" s="28" t="s">
        <v>38</v>
      </c>
      <c r="D8" s="28" t="s">
        <v>57</v>
      </c>
    </row>
    <row r="9" spans="2:4" ht="20.25" x14ac:dyDescent="0.3">
      <c r="B9" s="28" t="s">
        <v>84</v>
      </c>
      <c r="C9" s="30">
        <v>22500</v>
      </c>
      <c r="D9" s="30">
        <v>6000</v>
      </c>
    </row>
    <row r="10" spans="2:4" ht="20.25" x14ac:dyDescent="0.3">
      <c r="B10" s="28" t="s">
        <v>70</v>
      </c>
      <c r="C10" s="30">
        <v>92000</v>
      </c>
      <c r="D10" s="30">
        <v>20000</v>
      </c>
    </row>
    <row r="11" spans="2:4" ht="20.25" x14ac:dyDescent="0.3">
      <c r="B11" s="28" t="s">
        <v>64</v>
      </c>
      <c r="C11" s="30">
        <v>358900</v>
      </c>
      <c r="D11" s="30">
        <v>574700</v>
      </c>
    </row>
    <row r="12" spans="2:4" ht="20.25" x14ac:dyDescent="0.3">
      <c r="B12" s="28" t="s">
        <v>60</v>
      </c>
      <c r="C12" s="30">
        <v>403100</v>
      </c>
      <c r="D12" s="30">
        <v>1100</v>
      </c>
    </row>
    <row r="13" spans="2:4" ht="20.25" x14ac:dyDescent="0.3">
      <c r="B13" s="28" t="s">
        <v>61</v>
      </c>
      <c r="C13" s="30">
        <v>876500</v>
      </c>
      <c r="D13" s="30">
        <v>601800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6:E29"/>
  <sheetViews>
    <sheetView showGridLines="0" showRowColHeaders="0" workbookViewId="0">
      <selection activeCell="I11" sqref="I11"/>
    </sheetView>
  </sheetViews>
  <sheetFormatPr baseColWidth="10" defaultRowHeight="15" x14ac:dyDescent="0.25"/>
  <cols>
    <col min="2" max="2" width="17.85546875" customWidth="1"/>
    <col min="5" max="5" width="15.140625" customWidth="1"/>
  </cols>
  <sheetData>
    <row r="6" spans="2:5" ht="15.75" thickBot="1" x14ac:dyDescent="0.3"/>
    <row r="7" spans="2:5" ht="21" thickTop="1" thickBot="1" x14ac:dyDescent="0.35">
      <c r="B7" s="10" t="s">
        <v>10</v>
      </c>
      <c r="C7" s="9"/>
      <c r="D7" s="9"/>
      <c r="E7" s="9"/>
    </row>
    <row r="8" spans="2:5" ht="15.75" thickTop="1" x14ac:dyDescent="0.25"/>
    <row r="9" spans="2:5" ht="17.25" x14ac:dyDescent="0.3">
      <c r="B9" s="15" t="s">
        <v>12</v>
      </c>
      <c r="C9" s="11" t="s">
        <v>11</v>
      </c>
      <c r="D9" s="13">
        <v>13</v>
      </c>
      <c r="E9" s="14" t="str">
        <f>C9&amp;TEXT(D9,"000000")</f>
        <v>ART-000013</v>
      </c>
    </row>
    <row r="10" spans="2:5" ht="17.25" x14ac:dyDescent="0.3">
      <c r="B10" s="15" t="s">
        <v>21</v>
      </c>
      <c r="C10" s="11" t="s">
        <v>22</v>
      </c>
      <c r="D10" s="13">
        <v>3</v>
      </c>
      <c r="E10" s="14" t="str">
        <f>C10&amp;TEXT(D10,"000000")</f>
        <v>CMD-000003</v>
      </c>
    </row>
    <row r="11" spans="2:5" ht="17.25" x14ac:dyDescent="0.3">
      <c r="B11" s="15" t="s">
        <v>31</v>
      </c>
      <c r="C11" s="11" t="s">
        <v>32</v>
      </c>
      <c r="D11" s="13">
        <v>17</v>
      </c>
      <c r="E11" s="14" t="str">
        <f>C11&amp;TEXT(D11,"000000")</f>
        <v>FACT-000017</v>
      </c>
    </row>
    <row r="14" spans="2:5" ht="19.5" x14ac:dyDescent="0.3">
      <c r="B14" s="26" t="s">
        <v>29</v>
      </c>
      <c r="C14" s="27"/>
      <c r="D14" s="27"/>
      <c r="E14" s="27"/>
    </row>
    <row r="16" spans="2:5" ht="15.75" x14ac:dyDescent="0.25">
      <c r="B16" s="24" t="s">
        <v>25</v>
      </c>
      <c r="C16" s="24"/>
      <c r="D16" s="25" t="s">
        <v>26</v>
      </c>
      <c r="E16" s="25"/>
    </row>
    <row r="17" spans="2:5" ht="15.75" x14ac:dyDescent="0.25">
      <c r="B17" s="24" t="s">
        <v>27</v>
      </c>
      <c r="C17" s="24"/>
      <c r="D17" s="16">
        <v>695197322</v>
      </c>
      <c r="E17" s="16"/>
    </row>
    <row r="18" spans="2:5" ht="15.75" x14ac:dyDescent="0.25">
      <c r="B18" s="12" t="s">
        <v>28</v>
      </c>
      <c r="C18" s="12"/>
      <c r="D18" s="17" t="s">
        <v>23</v>
      </c>
      <c r="E18" s="16"/>
    </row>
    <row r="19" spans="2:5" ht="15.75" x14ac:dyDescent="0.25">
      <c r="B19" s="12" t="s">
        <v>30</v>
      </c>
      <c r="C19" s="12"/>
      <c r="D19" s="16" t="s">
        <v>24</v>
      </c>
      <c r="E19" s="16"/>
    </row>
    <row r="22" spans="2:5" ht="15.75" x14ac:dyDescent="0.25">
      <c r="B22" s="23"/>
      <c r="C22" s="23"/>
      <c r="D22" s="23"/>
      <c r="E22" s="23"/>
    </row>
    <row r="23" spans="2:5" ht="19.5" x14ac:dyDescent="0.3">
      <c r="B23" s="26" t="s">
        <v>72</v>
      </c>
      <c r="C23" s="27"/>
      <c r="D23" s="27"/>
      <c r="E23" s="27"/>
    </row>
    <row r="26" spans="2:5" ht="15.75" x14ac:dyDescent="0.25">
      <c r="B26" s="24" t="s">
        <v>9</v>
      </c>
      <c r="C26" s="24"/>
      <c r="D26" s="25">
        <f>SUM(Tableau2[valeur du stock])</f>
        <v>274700</v>
      </c>
      <c r="E26" s="25"/>
    </row>
    <row r="27" spans="2:5" ht="15.75" x14ac:dyDescent="0.25">
      <c r="B27" s="24" t="s">
        <v>73</v>
      </c>
      <c r="C27" s="24"/>
      <c r="D27" s="22">
        <f>SUM(Tableau2[Stock])</f>
        <v>79</v>
      </c>
      <c r="E27" s="22"/>
    </row>
    <row r="28" spans="2:5" ht="15.75" x14ac:dyDescent="0.25">
      <c r="B28" s="24" t="s">
        <v>74</v>
      </c>
      <c r="C28" s="24"/>
      <c r="D28" s="22">
        <f>COUNTIF(Tableau2[état],"Besoin")</f>
        <v>6</v>
      </c>
      <c r="E28" s="22"/>
    </row>
    <row r="29" spans="2:5" ht="15.75" x14ac:dyDescent="0.25">
      <c r="B29" s="21" t="s">
        <v>75</v>
      </c>
      <c r="C29" s="21"/>
      <c r="D29" s="22">
        <f>COUNTIF(Tableau2[statut],"actif")</f>
        <v>12</v>
      </c>
      <c r="E29" s="22"/>
    </row>
  </sheetData>
  <mergeCells count="9">
    <mergeCell ref="B14:E14"/>
    <mergeCell ref="B23:E23"/>
    <mergeCell ref="B26:C26"/>
    <mergeCell ref="D26:E26"/>
    <mergeCell ref="B27:C27"/>
    <mergeCell ref="B28:C28"/>
    <mergeCell ref="B16:C16"/>
    <mergeCell ref="D16:E16"/>
    <mergeCell ref="B17:C17"/>
  </mergeCells>
  <hyperlinks>
    <hyperlink ref="D18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Accueil</vt:lpstr>
      <vt:lpstr>Articles</vt:lpstr>
      <vt:lpstr>Transaction</vt:lpstr>
      <vt:lpstr>Bilan</vt:lpstr>
      <vt:lpstr>Configuration</vt:lpstr>
      <vt:lpstr>articles</vt:lpstr>
      <vt:lpstr>Transaction!Extraire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BOCCHI</dc:creator>
  <cp:lastModifiedBy>BOCCHI</cp:lastModifiedBy>
  <cp:lastPrinted>2020-05-20T20:28:25Z</cp:lastPrinted>
  <dcterms:created xsi:type="dcterms:W3CDTF">2020-05-20T14:28:13Z</dcterms:created>
  <dcterms:modified xsi:type="dcterms:W3CDTF">2020-05-30T07:33:23Z</dcterms:modified>
</cp:coreProperties>
</file>