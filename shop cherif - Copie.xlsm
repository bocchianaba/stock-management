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OCCHI\Documents\excell\"/>
    </mc:Choice>
  </mc:AlternateContent>
  <bookViews>
    <workbookView minimized="1" xWindow="0" yWindow="0" windowWidth="11505" windowHeight="10260" activeTab="6"/>
  </bookViews>
  <sheets>
    <sheet name="accueil" sheetId="1" r:id="rId1"/>
    <sheet name="article" sheetId="2" r:id="rId2"/>
    <sheet name="clients" sheetId="7" r:id="rId3"/>
    <sheet name="configuration" sheetId="5" r:id="rId4"/>
    <sheet name="commande" sheetId="3" r:id="rId5"/>
    <sheet name="bon_de_commande" sheetId="8" r:id="rId6"/>
    <sheet name="livraison" sheetId="9" r:id="rId7"/>
    <sheet name="fournisseur" sheetId="6" r:id="rId8"/>
  </sheets>
  <definedNames>
    <definedName name="article">Tableau1[N° Article]</definedName>
    <definedName name="client">Tableau4[Nom]</definedName>
    <definedName name="commande">Tableau2[N° commande]</definedName>
    <definedName name="fournisseur">Tableau3[Nom]</definedName>
    <definedName name="_xlnm.Print_Area" localSheetId="5">bon_de_commande!$B$3:$G$44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9" l="1"/>
  <c r="H20" i="3"/>
  <c r="J20" i="3" a="1"/>
  <c r="J20" i="3" s="1"/>
  <c r="K20" i="3" s="1" a="1"/>
  <c r="K20" i="3" s="1"/>
  <c r="F10" i="2"/>
  <c r="G10" i="2" s="1"/>
  <c r="I16" i="9"/>
  <c r="H19" i="3"/>
  <c r="J19" i="3" a="1"/>
  <c r="J19" i="3" s="1"/>
  <c r="K19" i="3" s="1" a="1"/>
  <c r="K19" i="3" s="1"/>
  <c r="H18" i="3"/>
  <c r="J18" i="3" a="1"/>
  <c r="J18" i="3" s="1"/>
  <c r="K18" i="3" s="1" a="1"/>
  <c r="K18" i="3" s="1"/>
  <c r="H17" i="3"/>
  <c r="J17" i="3" a="1"/>
  <c r="J17" i="3" s="1"/>
  <c r="K17" i="3" s="1" a="1"/>
  <c r="K17" i="3" s="1"/>
  <c r="I10" i="2" l="1"/>
  <c r="I15" i="9"/>
  <c r="I14" i="9"/>
  <c r="I13" i="9"/>
  <c r="I12" i="9"/>
  <c r="H16" i="3"/>
  <c r="J16" i="3" a="1"/>
  <c r="J16" i="3" s="1"/>
  <c r="K16" i="3" s="1" a="1"/>
  <c r="K16" i="3" s="1"/>
  <c r="H15" i="3"/>
  <c r="J15" i="3" a="1"/>
  <c r="J15" i="3" s="1"/>
  <c r="K15" i="3" s="1" a="1"/>
  <c r="K15" i="3" s="1"/>
  <c r="H14" i="3"/>
  <c r="J14" i="3" a="1"/>
  <c r="J14" i="3" s="1"/>
  <c r="K14" i="3" s="1" a="1"/>
  <c r="K14" i="3" s="1"/>
  <c r="H13" i="3"/>
  <c r="J13" i="3" a="1"/>
  <c r="J13" i="3" s="1"/>
  <c r="K13" i="3" s="1" a="1"/>
  <c r="K13" i="3" s="1"/>
  <c r="I11" i="9"/>
  <c r="I10" i="9"/>
  <c r="I6" i="9"/>
  <c r="I7" i="9"/>
  <c r="I8" i="9"/>
  <c r="I9" i="9"/>
  <c r="F9" i="2"/>
  <c r="G9" i="2" s="1"/>
  <c r="H12" i="3"/>
  <c r="J12" i="3" a="1"/>
  <c r="J12" i="3" s="1"/>
  <c r="K12" i="3" s="1" a="1"/>
  <c r="K12" i="3" s="1"/>
  <c r="H11" i="3"/>
  <c r="J11" i="3" a="1"/>
  <c r="J11" i="3" s="1"/>
  <c r="K11" i="3" s="1" a="1"/>
  <c r="K11" i="3" s="1"/>
  <c r="H10" i="3"/>
  <c r="J10" i="3" a="1"/>
  <c r="J10" i="3" s="1"/>
  <c r="K10" i="3" s="1" a="1"/>
  <c r="K10" i="3" s="1"/>
  <c r="H9" i="3"/>
  <c r="J9" i="3" a="1"/>
  <c r="J9" i="3" s="1"/>
  <c r="K9" i="3" s="1" a="1"/>
  <c r="K9" i="3" s="1"/>
  <c r="F8" i="2"/>
  <c r="G8" i="2" s="1"/>
  <c r="F7" i="2"/>
  <c r="G7" i="2" s="1"/>
  <c r="F6" i="2"/>
  <c r="G6" i="2" s="1"/>
  <c r="G9" i="8"/>
  <c r="F43" i="5" l="1"/>
  <c r="E43" i="5"/>
  <c r="G43" i="5"/>
  <c r="I9" i="2"/>
  <c r="I8" i="2"/>
  <c r="I7" i="2"/>
  <c r="I6" i="2"/>
  <c r="E42" i="5" a="1"/>
  <c r="E42" i="5" s="1"/>
  <c r="E41" i="5" a="1"/>
  <c r="E41" i="5" s="1"/>
  <c r="E38" i="5" a="1"/>
  <c r="C22" i="8" a="1"/>
  <c r="C22" i="8" s="1"/>
  <c r="B22" i="8" s="1"/>
  <c r="D22" i="8" a="1"/>
  <c r="D22" i="8" s="1"/>
  <c r="E22" i="8" a="1"/>
  <c r="E22" i="8" s="1"/>
  <c r="F22" i="8" a="1"/>
  <c r="F22" i="8" s="1"/>
  <c r="C23" i="8" a="1"/>
  <c r="C23" i="8" s="1"/>
  <c r="B23" i="8" s="1"/>
  <c r="D23" i="8" a="1"/>
  <c r="D23" i="8" s="1"/>
  <c r="E23" i="8" a="1"/>
  <c r="E23" i="8" s="1"/>
  <c r="F23" i="8" a="1"/>
  <c r="F23" i="8" s="1"/>
  <c r="C24" i="8" a="1"/>
  <c r="C24" i="8" s="1"/>
  <c r="B24" i="8" s="1"/>
  <c r="D24" i="8" a="1"/>
  <c r="D24" i="8" s="1"/>
  <c r="E24" i="8" a="1"/>
  <c r="E24" i="8" s="1"/>
  <c r="F24" i="8" a="1"/>
  <c r="F24" i="8" s="1"/>
  <c r="C25" i="8" a="1"/>
  <c r="C25" i="8" s="1"/>
  <c r="B25" i="8" s="1"/>
  <c r="D25" i="8" a="1"/>
  <c r="D25" i="8" s="1"/>
  <c r="E25" i="8" a="1"/>
  <c r="E25" i="8" s="1"/>
  <c r="F25" i="8" a="1"/>
  <c r="F25" i="8" s="1"/>
  <c r="C26" i="8" a="1"/>
  <c r="C26" i="8" s="1"/>
  <c r="B26" i="8" s="1"/>
  <c r="D26" i="8" a="1"/>
  <c r="D26" i="8" s="1"/>
  <c r="E26" i="8" a="1"/>
  <c r="E26" i="8" s="1"/>
  <c r="F26" i="8" a="1"/>
  <c r="F26" i="8" s="1"/>
  <c r="C27" i="8" a="1"/>
  <c r="C27" i="8" s="1"/>
  <c r="B27" i="8" s="1"/>
  <c r="D27" i="8" a="1"/>
  <c r="D27" i="8" s="1"/>
  <c r="E27" i="8" a="1"/>
  <c r="E27" i="8" s="1"/>
  <c r="F27" i="8" a="1"/>
  <c r="F27" i="8" s="1"/>
  <c r="C28" i="8" a="1"/>
  <c r="C28" i="8" s="1"/>
  <c r="B28" i="8" s="1"/>
  <c r="D28" i="8" a="1"/>
  <c r="D28" i="8" s="1"/>
  <c r="E28" i="8" a="1"/>
  <c r="E28" i="8" s="1"/>
  <c r="F28" i="8" a="1"/>
  <c r="F28" i="8" s="1"/>
  <c r="C29" i="8" a="1"/>
  <c r="C29" i="8" s="1"/>
  <c r="B29" i="8" s="1"/>
  <c r="D29" i="8" a="1"/>
  <c r="D29" i="8" s="1"/>
  <c r="E29" i="8" a="1"/>
  <c r="E29" i="8" s="1"/>
  <c r="F29" i="8" a="1"/>
  <c r="F29" i="8" s="1"/>
  <c r="C30" i="8" a="1"/>
  <c r="C30" i="8" s="1"/>
  <c r="B30" i="8" s="1"/>
  <c r="D30" i="8" a="1"/>
  <c r="D30" i="8" s="1"/>
  <c r="E30" i="8" a="1"/>
  <c r="E30" i="8" s="1"/>
  <c r="F30" i="8" a="1"/>
  <c r="F30" i="8" s="1"/>
  <c r="C31" i="8" a="1"/>
  <c r="C31" i="8" s="1"/>
  <c r="B31" i="8" s="1"/>
  <c r="D31" i="8" a="1"/>
  <c r="D31" i="8" s="1"/>
  <c r="E31" i="8" a="1"/>
  <c r="E31" i="8" s="1"/>
  <c r="F31" i="8" a="1"/>
  <c r="F31" i="8" s="1"/>
  <c r="C32" i="8" a="1"/>
  <c r="C32" i="8" s="1"/>
  <c r="B32" i="8" s="1"/>
  <c r="D32" i="8" a="1"/>
  <c r="D32" i="8" s="1"/>
  <c r="E32" i="8" a="1"/>
  <c r="E32" i="8" s="1"/>
  <c r="F32" i="8" a="1"/>
  <c r="F32" i="8" s="1"/>
  <c r="C33" i="8" a="1"/>
  <c r="C33" i="8" s="1"/>
  <c r="B33" i="8" s="1"/>
  <c r="D33" i="8" a="1"/>
  <c r="D33" i="8" s="1"/>
  <c r="E33" i="8" a="1"/>
  <c r="E33" i="8" s="1"/>
  <c r="F33" i="8" a="1"/>
  <c r="F33" i="8" s="1"/>
  <c r="C34" i="8" a="1"/>
  <c r="C34" i="8" s="1"/>
  <c r="B34" i="8" s="1"/>
  <c r="D34" i="8" a="1"/>
  <c r="D34" i="8" s="1"/>
  <c r="E34" i="8" a="1"/>
  <c r="E34" i="8" s="1"/>
  <c r="F34" i="8" a="1"/>
  <c r="F34" i="8" s="1"/>
  <c r="C35" i="8" a="1"/>
  <c r="C35" i="8" s="1"/>
  <c r="B35" i="8" s="1"/>
  <c r="D35" i="8" a="1"/>
  <c r="D35" i="8" s="1"/>
  <c r="E35" i="8" a="1"/>
  <c r="E35" i="8" s="1"/>
  <c r="F35" i="8" a="1"/>
  <c r="F35" i="8" s="1"/>
  <c r="C36" i="8" a="1"/>
  <c r="C36" i="8" s="1"/>
  <c r="B36" i="8" s="1"/>
  <c r="D36" i="8" a="1"/>
  <c r="D36" i="8" s="1"/>
  <c r="E36" i="8" a="1"/>
  <c r="E36" i="8" s="1"/>
  <c r="F36" i="8" a="1"/>
  <c r="F36" i="8" s="1"/>
  <c r="C37" i="8" a="1"/>
  <c r="C37" i="8" s="1"/>
  <c r="B37" i="8" s="1"/>
  <c r="D37" i="8" a="1"/>
  <c r="D37" i="8" s="1"/>
  <c r="E37" i="8" a="1"/>
  <c r="E37" i="8" s="1"/>
  <c r="F37" i="8" a="1"/>
  <c r="F37" i="8" s="1"/>
  <c r="C38" i="8" a="1"/>
  <c r="C38" i="8" s="1"/>
  <c r="B38" i="8" s="1"/>
  <c r="D38" i="8" a="1"/>
  <c r="D38" i="8" s="1"/>
  <c r="E38" i="8" a="1"/>
  <c r="E38" i="8" s="1"/>
  <c r="F38" i="8" a="1"/>
  <c r="F38" i="8" s="1"/>
  <c r="F20" i="8" a="1"/>
  <c r="F20" i="8" s="1"/>
  <c r="F21" i="8" a="1"/>
  <c r="F21" i="8" s="1"/>
  <c r="F19" i="8" a="1"/>
  <c r="F19" i="8" s="1"/>
  <c r="E20" i="8" a="1"/>
  <c r="E20" i="8" s="1"/>
  <c r="E21" i="8" a="1"/>
  <c r="E21" i="8" s="1"/>
  <c r="E19" i="8" a="1"/>
  <c r="E19" i="8" s="1"/>
  <c r="D20" i="8" a="1"/>
  <c r="D20" i="8" s="1"/>
  <c r="D21" i="8" a="1"/>
  <c r="D21" i="8" s="1"/>
  <c r="D19" i="8" a="1"/>
  <c r="D19" i="8" s="1"/>
  <c r="C20" i="8" a="1"/>
  <c r="C20" i="8" s="1"/>
  <c r="B20" i="8" s="1"/>
  <c r="C21" i="8" a="1"/>
  <c r="C21" i="8" s="1"/>
  <c r="B21" i="8" s="1"/>
  <c r="C19" i="8" a="1"/>
  <c r="C19" i="8" s="1"/>
  <c r="E40" i="5" l="1" a="1"/>
  <c r="E39" i="5" a="1"/>
  <c r="E39" i="5" s="1"/>
  <c r="G38" i="8" a="1"/>
  <c r="G38" i="8" s="1"/>
  <c r="G37" i="8" a="1"/>
  <c r="G37" i="8" s="1"/>
  <c r="G36" i="8" a="1"/>
  <c r="G36" i="8" s="1"/>
  <c r="G35" i="8" a="1"/>
  <c r="G35" i="8" s="1"/>
  <c r="G34" i="8" a="1"/>
  <c r="G34" i="8" s="1"/>
  <c r="G33" i="8" a="1"/>
  <c r="G33" i="8" s="1"/>
  <c r="G32" i="8" a="1"/>
  <c r="G32" i="8" s="1"/>
  <c r="G31" i="8" a="1"/>
  <c r="G31" i="8" s="1"/>
  <c r="G30" i="8" a="1"/>
  <c r="G30" i="8" s="1"/>
  <c r="G29" i="8" a="1"/>
  <c r="G29" i="8" s="1"/>
  <c r="G28" i="8" a="1"/>
  <c r="G28" i="8" s="1"/>
  <c r="G27" i="8" a="1"/>
  <c r="G27" i="8" s="1"/>
  <c r="G26" i="8" a="1"/>
  <c r="G26" i="8" s="1"/>
  <c r="G25" i="8" a="1"/>
  <c r="G25" i="8" s="1"/>
  <c r="G24" i="8" a="1"/>
  <c r="G24" i="8" s="1"/>
  <c r="G23" i="8" a="1"/>
  <c r="G23" i="8" s="1"/>
  <c r="G22" i="8" a="1"/>
  <c r="G22" i="8" s="1"/>
  <c r="G20" i="8" a="1"/>
  <c r="G20" i="8" s="1"/>
  <c r="G21" i="8" a="1"/>
  <c r="G21" i="8" s="1"/>
  <c r="E21" i="5"/>
  <c r="E20" i="5"/>
  <c r="F14" i="8" l="1"/>
  <c r="F16" i="8" s="1" a="1"/>
  <c r="F16" i="8" s="1"/>
  <c r="B16" i="8"/>
  <c r="B15" i="8"/>
  <c r="B14" i="8"/>
  <c r="B13" i="8"/>
  <c r="B7" i="8"/>
  <c r="G19" i="8" l="1" a="1"/>
  <c r="G19" i="8" s="1"/>
  <c r="F15" i="8" a="1"/>
  <c r="F15" i="8" s="1"/>
  <c r="B19" i="8"/>
  <c r="G41" i="8" l="1"/>
  <c r="E19" i="5"/>
  <c r="G42" i="8" l="1"/>
  <c r="G43" i="8" s="1"/>
  <c r="E40" i="5"/>
  <c r="E38" i="5"/>
</calcChain>
</file>

<file path=xl/sharedStrings.xml><?xml version="1.0" encoding="utf-8"?>
<sst xmlns="http://schemas.openxmlformats.org/spreadsheetml/2006/main" count="331" uniqueCount="157">
  <si>
    <t>bienvenue dans votre application de gestion</t>
  </si>
  <si>
    <t>N° Article</t>
  </si>
  <si>
    <t>Nom</t>
  </si>
  <si>
    <t>Description</t>
  </si>
  <si>
    <t>Prix unitaire</t>
  </si>
  <si>
    <t>Stock</t>
  </si>
  <si>
    <t>Valeur Stock</t>
  </si>
  <si>
    <t>Vide</t>
  </si>
  <si>
    <t>&gt;10</t>
  </si>
  <si>
    <t>stock minimal</t>
  </si>
  <si>
    <t>état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</si>
  <si>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</si>
  <si>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</si>
  <si>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</si>
  <si>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</si>
  <si>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</si>
  <si>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</si>
  <si>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</si>
  <si>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</si>
  <si>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</si>
  <si>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</si>
  <si>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Suffixe</t>
  </si>
  <si>
    <t>Article</t>
  </si>
  <si>
    <t>ART-</t>
  </si>
  <si>
    <t>statut</t>
  </si>
  <si>
    <t>actif</t>
  </si>
  <si>
    <t>bic</t>
  </si>
  <si>
    <t>stylo</t>
  </si>
  <si>
    <t>N° commande</t>
  </si>
  <si>
    <t>Date</t>
  </si>
  <si>
    <t>Nombre</t>
  </si>
  <si>
    <t>Prix</t>
  </si>
  <si>
    <t>Prix total</t>
  </si>
  <si>
    <t>Fournisseur</t>
  </si>
  <si>
    <t>Ville</t>
  </si>
  <si>
    <t>Téléphone</t>
  </si>
  <si>
    <t>Mail</t>
  </si>
  <si>
    <t>four1</t>
  </si>
  <si>
    <t>Yaoundé</t>
  </si>
  <si>
    <t>bocchianaba@gmail.com</t>
  </si>
  <si>
    <t>four2</t>
  </si>
  <si>
    <t>four3</t>
  </si>
  <si>
    <t>four4</t>
  </si>
  <si>
    <t>four5</t>
  </si>
  <si>
    <t>four6</t>
  </si>
  <si>
    <t>four7</t>
  </si>
  <si>
    <t>four8</t>
  </si>
  <si>
    <t>four9</t>
  </si>
  <si>
    <t>four10</t>
  </si>
  <si>
    <t>four11</t>
  </si>
  <si>
    <t>four12</t>
  </si>
  <si>
    <t>client1</t>
  </si>
  <si>
    <t>6 95 19 73 22</t>
  </si>
  <si>
    <t>client2</t>
  </si>
  <si>
    <t>7 95 19 73 22</t>
  </si>
  <si>
    <t>client3</t>
  </si>
  <si>
    <t>8 95 19 73 22</t>
  </si>
  <si>
    <t>client4</t>
  </si>
  <si>
    <t>9 95 19 73 22</t>
  </si>
  <si>
    <t>client5</t>
  </si>
  <si>
    <t>10 95 19 73 22</t>
  </si>
  <si>
    <t>client6</t>
  </si>
  <si>
    <t>11 95 19 73 22</t>
  </si>
  <si>
    <t>client7</t>
  </si>
  <si>
    <t>12 95 19 73 22</t>
  </si>
  <si>
    <t>client8</t>
  </si>
  <si>
    <t>13 95 19 73 22</t>
  </si>
  <si>
    <t>client9</t>
  </si>
  <si>
    <t>14 95 19 73 22</t>
  </si>
  <si>
    <t>client10</t>
  </si>
  <si>
    <t>15 95 19 73 22</t>
  </si>
  <si>
    <t>client11</t>
  </si>
  <si>
    <t>16 95 19 73 22</t>
  </si>
  <si>
    <t>client12</t>
  </si>
  <si>
    <t>17 95 19 73 22</t>
  </si>
  <si>
    <t>client13</t>
  </si>
  <si>
    <t>18 95 19 73 22</t>
  </si>
  <si>
    <t>client14</t>
  </si>
  <si>
    <t>19 95 19 73 22</t>
  </si>
  <si>
    <t>CMD-</t>
  </si>
  <si>
    <t>Comande</t>
  </si>
  <si>
    <t>BOUTIQUE</t>
  </si>
  <si>
    <t>BON DE COMMANDE</t>
  </si>
  <si>
    <r>
      <rPr>
        <b/>
        <sz val="11"/>
        <color theme="1"/>
        <rFont val="Calibri"/>
        <family val="2"/>
        <scheme val="minor"/>
      </rPr>
      <t>N°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cmd</t>
    </r>
    <r>
      <rPr>
        <sz val="11"/>
        <color theme="1"/>
        <rFont val="Calibri"/>
        <family val="2"/>
        <scheme val="minor"/>
      </rPr>
      <t xml:space="preserve"> :</t>
    </r>
  </si>
  <si>
    <t>Date :</t>
  </si>
  <si>
    <t>Fournisseur :</t>
  </si>
  <si>
    <t xml:space="preserve"> </t>
  </si>
  <si>
    <t>N°</t>
  </si>
  <si>
    <t>Total</t>
  </si>
  <si>
    <t>Total :</t>
  </si>
  <si>
    <t>TVA</t>
  </si>
  <si>
    <t>Total TTC :</t>
  </si>
  <si>
    <t>coordonées du demandeur</t>
  </si>
  <si>
    <t>Bon de commande</t>
  </si>
  <si>
    <t>entreprise</t>
  </si>
  <si>
    <t>quartier</t>
  </si>
  <si>
    <t>téléphone</t>
  </si>
  <si>
    <t>mail</t>
  </si>
  <si>
    <t>Nkoabang</t>
  </si>
  <si>
    <t>Type</t>
  </si>
  <si>
    <t>N° Facture</t>
  </si>
  <si>
    <t>N° Bon de Commande</t>
  </si>
  <si>
    <t>Client</t>
  </si>
  <si>
    <t>Rang</t>
  </si>
  <si>
    <t>Entrée</t>
  </si>
  <si>
    <t>Livraison</t>
  </si>
  <si>
    <t>LIV-</t>
  </si>
  <si>
    <t>Sortie</t>
  </si>
  <si>
    <t/>
  </si>
  <si>
    <t>contrôle</t>
  </si>
  <si>
    <t>check</t>
  </si>
  <si>
    <t>Tableau de bord</t>
  </si>
  <si>
    <t>widget1</t>
  </si>
  <si>
    <t>widget2</t>
  </si>
  <si>
    <t>widget3</t>
  </si>
  <si>
    <t>widget4</t>
  </si>
  <si>
    <t>widget5</t>
  </si>
  <si>
    <t>widget6</t>
  </si>
  <si>
    <t>valeur du stock</t>
  </si>
  <si>
    <t>article en commande</t>
  </si>
  <si>
    <t>article critique</t>
  </si>
  <si>
    <t>nombre d'article en stock</t>
  </si>
  <si>
    <t>volume du stock</t>
  </si>
  <si>
    <t>top 3 articles vendus</t>
  </si>
  <si>
    <t>menu</t>
  </si>
  <si>
    <t>page1</t>
  </si>
  <si>
    <t>page2</t>
  </si>
  <si>
    <t>page3</t>
  </si>
  <si>
    <t>page4</t>
  </si>
  <si>
    <t>page5</t>
  </si>
  <si>
    <t>page6</t>
  </si>
  <si>
    <t>page7</t>
  </si>
  <si>
    <t>page8</t>
  </si>
  <si>
    <t>accueil</t>
  </si>
  <si>
    <t>article</t>
  </si>
  <si>
    <t>clients</t>
  </si>
  <si>
    <t>configuration</t>
  </si>
  <si>
    <t>commande</t>
  </si>
  <si>
    <t>bon de commande</t>
  </si>
  <si>
    <t>transaction</t>
  </si>
  <si>
    <t>fournisseur</t>
  </si>
  <si>
    <t>ART-00007</t>
  </si>
  <si>
    <t>ART-00008</t>
  </si>
  <si>
    <t>règle graduée</t>
  </si>
  <si>
    <t>ART-00009</t>
  </si>
  <si>
    <t>crayon</t>
  </si>
  <si>
    <t>CMD-00012</t>
  </si>
  <si>
    <t>ART-00010</t>
  </si>
  <si>
    <t>cintre</t>
  </si>
  <si>
    <t>paquet de 1000fca</t>
  </si>
  <si>
    <t>CMD-00013</t>
  </si>
  <si>
    <t>CMD-00014</t>
  </si>
  <si>
    <t>14</t>
  </si>
  <si>
    <t>ART-00011</t>
  </si>
  <si>
    <t>montre</t>
  </si>
  <si>
    <t>m</t>
  </si>
  <si>
    <t>CMD-00015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</si>
</sst>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Besoin&quot;"/>
    <numFmt numFmtId="165" formatCode="#,##0.00\ _€"/>
  </numFmts>
  <fonts count="11" x14ac:knownFonts="1">
    <font>
      <sz val="11"/>
      <color theme="1"/>
      <name val="Calibri"/>
      <family val="2"/>
      <scheme val="minor"/>
    </font>
    <font>
      <sz val="22"/>
      <color theme="1"/>
      <name val="Algerian"/>
      <family val="5"/>
    </font>
    <font>
      <sz val="14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6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lightUp">
        <bgColor theme="4" tint="0.59996337778862885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164" fontId="4" fillId="0" borderId="0" xfId="0" applyNumberFormat="1" applyFont="1" applyAlignment="1">
      <alignment horizontal="center"/>
    </xf>
    <xf numFmtId="0" fontId="3" fillId="3" borderId="0" xfId="0" applyFont="1" applyFill="1"/>
    <xf numFmtId="0" fontId="0" fillId="0" borderId="2" xfId="0" applyBorder="1"/>
    <xf numFmtId="0" fontId="0" fillId="4" borderId="1" xfId="0" applyFill="1" applyBorder="1" applyAlignment="1">
      <alignment horizontal="center"/>
    </xf>
    <xf numFmtId="0" fontId="0" fillId="5" borderId="1" xfId="0" applyFill="1" applyBorder="1"/>
    <xf numFmtId="0" fontId="0" fillId="5" borderId="4" xfId="0" applyFill="1" applyBorder="1"/>
    <xf numFmtId="0" fontId="0" fillId="6" borderId="3" xfId="0" applyFill="1" applyBorder="1"/>
    <xf numFmtId="165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5" fillId="0" borderId="0" xfId="1"/>
    <xf numFmtId="165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4" fillId="0" borderId="0" xfId="0" applyFont="1"/>
    <xf numFmtId="0" fontId="0" fillId="0" borderId="5" xfId="0" applyBorder="1"/>
    <xf numFmtId="0" fontId="6" fillId="0" borderId="2" xfId="0" applyFon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10" fillId="3" borderId="0" xfId="0" applyFont="1" applyFill="1"/>
    <xf numFmtId="9" fontId="0" fillId="0" borderId="2" xfId="2" applyFont="1" applyBorder="1"/>
    <xf numFmtId="0" fontId="6" fillId="7" borderId="0" xfId="0" applyFont="1" applyFill="1"/>
    <xf numFmtId="0" fontId="0" fillId="0" borderId="0" xfId="0" applyAlignment="1">
      <alignment horizontal="left"/>
    </xf>
    <xf numFmtId="0" fontId="6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1" xfId="0" applyFill="1" applyBorder="1"/>
    <xf numFmtId="0" fontId="0" fillId="0" borderId="0" xfId="0" applyNumberFormat="1" applyAlignment="1">
      <alignment horizontal="center"/>
    </xf>
    <xf numFmtId="14" fontId="0" fillId="0" borderId="0" xfId="0" applyNumberFormat="1"/>
    <xf numFmtId="22" fontId="0" fillId="0" borderId="0" xfId="0" applyNumberFormat="1" applyAlignment="1">
      <alignment horizontal="center"/>
    </xf>
    <xf numFmtId="0" fontId="6" fillId="0" borderId="0" xfId="0" applyNumberFormat="1" applyFont="1" applyAlignment="1">
      <alignment horizontal="center" vertical="center" wrapText="1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3">
    <cellStyle name="Lien hypertexte" xfId="1" builtinId="8"/>
    <cellStyle name="Normal" xfId="0" builtinId="0"/>
    <cellStyle name="Pourcentage" xfId="2" builtinId="5"/>
  </cellStyles>
  <dxfs count="4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rgb="FF00B050"/>
        </pattern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#,##0.00\ _€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Besoin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&quot;Besoin&quot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#,##0.00\ _€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235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4</xdr:col>
      <xdr:colOff>561975</xdr:colOff>
      <xdr:row>14</xdr:row>
      <xdr:rowOff>85725</xdr:rowOff>
    </xdr:to>
    <xdr:grpSp>
      <xdr:nvGrpSpPr>
        <xdr:cNvPr id="6" name="Groupe 5"/>
        <xdr:cNvGrpSpPr/>
      </xdr:nvGrpSpPr>
      <xdr:grpSpPr>
        <a:xfrm>
          <a:off x="0" y="1485900"/>
          <a:ext cx="3609975" cy="1800225"/>
          <a:chOff x="6096000" y="1143000"/>
          <a:chExt cx="3609975" cy="1800225"/>
        </a:xfrm>
      </xdr:grpSpPr>
      <xdr:sp macro="" textlink="">
        <xdr:nvSpPr>
          <xdr:cNvPr id="2" name="ZoneTexte 1"/>
          <xdr:cNvSpPr txBox="1"/>
        </xdr:nvSpPr>
        <xdr:spPr>
          <a:xfrm>
            <a:off x="6096000" y="1143000"/>
            <a:ext cx="3609975" cy="18002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fr-FR" sz="1100"/>
          </a:p>
        </xdr:txBody>
      </xdr:sp>
      <xdr:sp macro="" textlink="configuration!C38">
        <xdr:nvSpPr>
          <xdr:cNvPr id="3" name="ZoneTexte 2"/>
          <xdr:cNvSpPr txBox="1"/>
        </xdr:nvSpPr>
        <xdr:spPr>
          <a:xfrm>
            <a:off x="6096000" y="2562225"/>
            <a:ext cx="3600000" cy="360000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0F6810F-275B-4C6D-9A2C-C08D939940DC}" type="TxLink">
              <a:rPr lang="en-US" sz="16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valeur du stock</a:t>
            </a:fld>
            <a:endParaRPr lang="fr-FR" sz="16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" textlink="configuration!E38">
        <xdr:nvSpPr>
          <xdr:cNvPr id="4" name="ZoneTexte 3"/>
          <xdr:cNvSpPr txBox="1"/>
        </xdr:nvSpPr>
        <xdr:spPr>
          <a:xfrm>
            <a:off x="6324600" y="1514475"/>
            <a:ext cx="2200275" cy="6953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148CEC3-5F58-4F8C-A1DC-606D85B81933}" type="TxLink">
              <a:rPr lang="en-US" sz="2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42500</a:t>
            </a:fld>
            <a:endParaRPr lang="fr-FR" sz="2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pic>
        <xdr:nvPicPr>
          <xdr:cNvPr id="5" name="Image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96325" y="1409700"/>
            <a:ext cx="866774" cy="86677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466725</xdr:colOff>
      <xdr:row>21</xdr:row>
      <xdr:rowOff>57150</xdr:rowOff>
    </xdr:from>
    <xdr:to>
      <xdr:col>13</xdr:col>
      <xdr:colOff>381000</xdr:colOff>
      <xdr:row>22</xdr:row>
      <xdr:rowOff>180975</xdr:rowOff>
    </xdr:to>
    <xdr:sp macro="" textlink="configuration!G43">
      <xdr:nvSpPr>
        <xdr:cNvPr id="36" name="ZoneTexte 35"/>
        <xdr:cNvSpPr txBox="1"/>
      </xdr:nvSpPr>
      <xdr:spPr>
        <a:xfrm>
          <a:off x="8086725" y="4314825"/>
          <a:ext cx="2200275" cy="314325"/>
        </a:xfrm>
        <a:prstGeom prst="rect">
          <a:avLst/>
        </a:prstGeom>
        <a:solidFill>
          <a:srgbClr val="62356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C6D7928-B3BC-4C20-A2DE-FF9735747C3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ART-00010</a:t>
          </a:fld>
          <a:endParaRPr lang="fr-FR" sz="24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5</xdr:col>
      <xdr:colOff>200025</xdr:colOff>
      <xdr:row>5</xdr:row>
      <xdr:rowOff>0</xdr:rowOff>
    </xdr:from>
    <xdr:to>
      <xdr:col>10</xdr:col>
      <xdr:colOff>0</xdr:colOff>
      <xdr:row>14</xdr:row>
      <xdr:rowOff>85725</xdr:rowOff>
    </xdr:to>
    <xdr:grpSp>
      <xdr:nvGrpSpPr>
        <xdr:cNvPr id="9" name="Groupe 8"/>
        <xdr:cNvGrpSpPr/>
      </xdr:nvGrpSpPr>
      <xdr:grpSpPr>
        <a:xfrm>
          <a:off x="4010025" y="1485900"/>
          <a:ext cx="3609975" cy="1800225"/>
          <a:chOff x="4010025" y="1228725"/>
          <a:chExt cx="3609975" cy="1800225"/>
        </a:xfrm>
      </xdr:grpSpPr>
      <xdr:grpSp>
        <xdr:nvGrpSpPr>
          <xdr:cNvPr id="10" name="Groupe 9"/>
          <xdr:cNvGrpSpPr/>
        </xdr:nvGrpSpPr>
        <xdr:grpSpPr>
          <a:xfrm>
            <a:off x="4010025" y="12287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11" name="ZoneTexte 10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2">
                <a:lumMod val="5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C39">
          <xdr:nvSpPr>
            <xdr:cNvPr id="12" name="ZoneTexte 11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2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F92A2D2-4343-4363-9BA4-3CF12838EA07}" type="TxLink">
                <a:rPr lang="en-US" sz="16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article en commande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E39">
          <xdr:nvSpPr>
            <xdr:cNvPr id="13" name="ZoneTexte 12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2">
                <a:lumMod val="5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DA45247-5C6A-4A9D-B726-523A9385FB57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12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53200" y="1533525"/>
            <a:ext cx="752475" cy="73342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200025</xdr:colOff>
      <xdr:row>5</xdr:row>
      <xdr:rowOff>0</xdr:rowOff>
    </xdr:from>
    <xdr:to>
      <xdr:col>15</xdr:col>
      <xdr:colOff>0</xdr:colOff>
      <xdr:row>14</xdr:row>
      <xdr:rowOff>85725</xdr:rowOff>
    </xdr:to>
    <xdr:grpSp>
      <xdr:nvGrpSpPr>
        <xdr:cNvPr id="38" name="Groupe 37"/>
        <xdr:cNvGrpSpPr/>
      </xdr:nvGrpSpPr>
      <xdr:grpSpPr>
        <a:xfrm>
          <a:off x="7820025" y="1485900"/>
          <a:ext cx="3609975" cy="1800225"/>
          <a:chOff x="7820025" y="1228725"/>
          <a:chExt cx="3609975" cy="1800225"/>
        </a:xfrm>
      </xdr:grpSpPr>
      <xdr:grpSp>
        <xdr:nvGrpSpPr>
          <xdr:cNvPr id="15" name="Groupe 14"/>
          <xdr:cNvGrpSpPr/>
        </xdr:nvGrpSpPr>
        <xdr:grpSpPr>
          <a:xfrm>
            <a:off x="7820025" y="12287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16" name="ZoneTexte 15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C40">
          <xdr:nvSpPr>
            <xdr:cNvPr id="17" name="ZoneTexte 16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3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3D67676-3C73-4941-9B03-F9F6BC44FDAB}" type="TxLink">
                <a:rPr lang="en-US" sz="16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article critique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E40">
          <xdr:nvSpPr>
            <xdr:cNvPr id="18" name="ZoneTexte 17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4AB69CD-2A73-4D0E-808A-07C67E1E418C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2</a:t>
              </a:fld>
              <a:endParaRPr lang="en-US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37" name="Image 36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8376" y="1504950"/>
            <a:ext cx="1181100" cy="7905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4</xdr:col>
      <xdr:colOff>561975</xdr:colOff>
      <xdr:row>25</xdr:row>
      <xdr:rowOff>85725</xdr:rowOff>
    </xdr:to>
    <xdr:grpSp>
      <xdr:nvGrpSpPr>
        <xdr:cNvPr id="46" name="Groupe 45"/>
        <xdr:cNvGrpSpPr/>
      </xdr:nvGrpSpPr>
      <xdr:grpSpPr>
        <a:xfrm>
          <a:off x="0" y="3581400"/>
          <a:ext cx="3609975" cy="1800225"/>
          <a:chOff x="0" y="3324225"/>
          <a:chExt cx="3609975" cy="1800225"/>
        </a:xfrm>
      </xdr:grpSpPr>
      <xdr:grpSp>
        <xdr:nvGrpSpPr>
          <xdr:cNvPr id="20" name="Groupe 19"/>
          <xdr:cNvGrpSpPr/>
        </xdr:nvGrpSpPr>
        <xdr:grpSpPr>
          <a:xfrm>
            <a:off x="0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21" name="ZoneTexte 20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C41">
          <xdr:nvSpPr>
            <xdr:cNvPr id="22" name="ZoneTexte 21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1B6C55D-EFD1-48FC-B701-0D65789CB365}" type="TxLink">
                <a:rPr lang="en-US" sz="16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nombre d'article en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E41">
          <xdr:nvSpPr>
            <xdr:cNvPr id="23" name="ZoneTexte 22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ADB70BB-E7C8-4435-BB8C-9A8751BF2D60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5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40" name="Image 39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2700" y="3657600"/>
            <a:ext cx="800100" cy="8001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200025</xdr:colOff>
      <xdr:row>16</xdr:row>
      <xdr:rowOff>0</xdr:rowOff>
    </xdr:from>
    <xdr:to>
      <xdr:col>10</xdr:col>
      <xdr:colOff>0</xdr:colOff>
      <xdr:row>25</xdr:row>
      <xdr:rowOff>85725</xdr:rowOff>
    </xdr:to>
    <xdr:grpSp>
      <xdr:nvGrpSpPr>
        <xdr:cNvPr id="45" name="Groupe 44"/>
        <xdr:cNvGrpSpPr/>
      </xdr:nvGrpSpPr>
      <xdr:grpSpPr>
        <a:xfrm>
          <a:off x="4010025" y="3581400"/>
          <a:ext cx="3609975" cy="1800225"/>
          <a:chOff x="4010025" y="3324225"/>
          <a:chExt cx="3609975" cy="1800225"/>
        </a:xfrm>
      </xdr:grpSpPr>
      <xdr:grpSp>
        <xdr:nvGrpSpPr>
          <xdr:cNvPr id="25" name="Groupe 24"/>
          <xdr:cNvGrpSpPr/>
        </xdr:nvGrpSpPr>
        <xdr:grpSpPr>
          <a:xfrm>
            <a:off x="4010025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26" name="ZoneTexte 25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C42">
          <xdr:nvSpPr>
            <xdr:cNvPr id="27" name="ZoneTexte 26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6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169CE83-A373-4B26-8DD8-ADDA165B0502}" type="TxLink">
                <a:rPr lang="en-US" sz="16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volume du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E42">
          <xdr:nvSpPr>
            <xdr:cNvPr id="28" name="ZoneTexte 27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4162A82-3B01-466D-8B25-4E2CEEF2E50B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165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42" name="Image 41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1300" y="3724275"/>
            <a:ext cx="762000" cy="6477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47624</xdr:colOff>
      <xdr:row>0</xdr:row>
      <xdr:rowOff>52386</xdr:rowOff>
    </xdr:from>
    <xdr:to>
      <xdr:col>17</xdr:col>
      <xdr:colOff>600075</xdr:colOff>
      <xdr:row>2</xdr:row>
      <xdr:rowOff>4500</xdr:rowOff>
    </xdr:to>
    <xdr:grpSp>
      <xdr:nvGrpSpPr>
        <xdr:cNvPr id="56" name="Groupe 55"/>
        <xdr:cNvGrpSpPr/>
      </xdr:nvGrpSpPr>
      <xdr:grpSpPr>
        <a:xfrm>
          <a:off x="47624" y="52386"/>
          <a:ext cx="13601701" cy="580764"/>
          <a:chOff x="47625" y="52386"/>
          <a:chExt cx="11430000" cy="580764"/>
        </a:xfrm>
      </xdr:grpSpPr>
      <xdr:sp macro="" textlink="">
        <xdr:nvSpPr>
          <xdr:cNvPr id="47" name="Rectangle à coins arrondis 46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48" name="Rectangle 47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49" name="Rectangle 48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50" name="Rectangle 49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51" name="Rectangle 50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52" name="Rectangle 51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53" name="Rectangle 52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54" name="Rectangle 53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55" name="Rectangle 54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  <xdr:twoCellAnchor>
    <xdr:from>
      <xdr:col>10</xdr:col>
      <xdr:colOff>209550</xdr:colOff>
      <xdr:row>16</xdr:row>
      <xdr:rowOff>0</xdr:rowOff>
    </xdr:from>
    <xdr:to>
      <xdr:col>15</xdr:col>
      <xdr:colOff>9525</xdr:colOff>
      <xdr:row>25</xdr:row>
      <xdr:rowOff>85725</xdr:rowOff>
    </xdr:to>
    <xdr:grpSp>
      <xdr:nvGrpSpPr>
        <xdr:cNvPr id="7" name="Groupe 6"/>
        <xdr:cNvGrpSpPr/>
      </xdr:nvGrpSpPr>
      <xdr:grpSpPr>
        <a:xfrm>
          <a:off x="7829550" y="3581400"/>
          <a:ext cx="3609975" cy="1800225"/>
          <a:chOff x="7829550" y="3581400"/>
          <a:chExt cx="3609975" cy="1800225"/>
        </a:xfrm>
      </xdr:grpSpPr>
      <xdr:grpSp>
        <xdr:nvGrpSpPr>
          <xdr:cNvPr id="44" name="Groupe 43"/>
          <xdr:cNvGrpSpPr/>
        </xdr:nvGrpSpPr>
        <xdr:grpSpPr>
          <a:xfrm>
            <a:off x="7829550" y="3581400"/>
            <a:ext cx="3609975" cy="1800225"/>
            <a:chOff x="7829550" y="3324225"/>
            <a:chExt cx="3609975" cy="1800225"/>
          </a:xfrm>
        </xdr:grpSpPr>
        <xdr:grpSp>
          <xdr:nvGrpSpPr>
            <xdr:cNvPr id="30" name="Groupe 29"/>
            <xdr:cNvGrpSpPr/>
          </xdr:nvGrpSpPr>
          <xdr:grpSpPr>
            <a:xfrm>
              <a:off x="7829550" y="3324225"/>
              <a:ext cx="3609975" cy="1800225"/>
              <a:chOff x="6096000" y="1143000"/>
              <a:chExt cx="3609975" cy="1800225"/>
            </a:xfrm>
          </xdr:grpSpPr>
          <xdr:sp macro="" textlink="">
            <xdr:nvSpPr>
              <xdr:cNvPr id="31" name="ZoneTexte 30"/>
              <xdr:cNvSpPr txBox="1"/>
            </xdr:nvSpPr>
            <xdr:spPr>
              <a:xfrm>
                <a:off x="6096000" y="1143000"/>
                <a:ext cx="3609975" cy="1800225"/>
              </a:xfrm>
              <a:prstGeom prst="rect">
                <a:avLst/>
              </a:prstGeom>
              <a:solidFill>
                <a:srgbClr val="623563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fr-FR" sz="1100"/>
              </a:p>
            </xdr:txBody>
          </xdr:sp>
          <xdr:sp macro="" textlink="configuration!C43">
            <xdr:nvSpPr>
              <xdr:cNvPr id="32" name="ZoneTexte 31"/>
              <xdr:cNvSpPr txBox="1"/>
            </xdr:nvSpPr>
            <xdr:spPr>
              <a:xfrm>
                <a:off x="6096000" y="2562225"/>
                <a:ext cx="3600000" cy="360000"/>
              </a:xfrm>
              <a:prstGeom prst="rect">
                <a:avLst/>
              </a:prstGeom>
              <a:solidFill>
                <a:srgbClr val="7030A0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88D4577D-247D-420C-AD35-86479ACFA183}" type="TxLink">
                  <a:rPr lang="en-US" sz="1600" b="0" i="0" u="none" strike="noStrike">
                    <a:solidFill>
                      <a:schemeClr val="bg1"/>
                    </a:solidFill>
                    <a:latin typeface="Algerian" panose="04020705040A02060702" pitchFamily="82" charset="0"/>
                    <a:cs typeface="Calibri"/>
                  </a:rPr>
                  <a:pPr algn="ctr"/>
                  <a:t>top 3 articles vendus</a:t>
                </a:fld>
                <a:endParaRPr lang="fr-FR" sz="1600">
                  <a:solidFill>
                    <a:schemeClr val="bg1"/>
                  </a:solidFill>
                  <a:latin typeface="Algerian" panose="04020705040A02060702" pitchFamily="82" charset="0"/>
                </a:endParaRPr>
              </a:p>
            </xdr:txBody>
          </xdr:sp>
          <xdr:sp macro="" textlink="configuration!E43">
            <xdr:nvSpPr>
              <xdr:cNvPr id="33" name="ZoneTexte 32"/>
              <xdr:cNvSpPr txBox="1"/>
            </xdr:nvSpPr>
            <xdr:spPr>
              <a:xfrm>
                <a:off x="6315075" y="1266825"/>
                <a:ext cx="2200275" cy="314325"/>
              </a:xfrm>
              <a:prstGeom prst="rect">
                <a:avLst/>
              </a:prstGeom>
              <a:solidFill>
                <a:srgbClr val="623563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EF177867-3E82-410D-B91B-54E175B5F0D7}" type="TxLink">
                  <a:rPr lang="en-US" sz="1600" b="0" i="0" u="none" strike="noStrike">
                    <a:solidFill>
                      <a:schemeClr val="bg1"/>
                    </a:solidFill>
                    <a:latin typeface="Algerian" panose="04020705040A02060702" pitchFamily="82" charset="0"/>
                    <a:cs typeface="Calibri"/>
                  </a:rPr>
                  <a:pPr algn="ctr"/>
                  <a:t>ART-00009</a:t>
                </a:fld>
                <a:endParaRPr lang="fr-FR" sz="1600">
                  <a:solidFill>
                    <a:schemeClr val="bg1"/>
                  </a:solidFill>
                  <a:latin typeface="Algerian" panose="04020705040A02060702" pitchFamily="82" charset="0"/>
                </a:endParaRPr>
              </a:p>
            </xdr:txBody>
          </xdr:sp>
        </xdr:grpSp>
        <xdr:sp macro="" textlink="configuration!F43">
          <xdr:nvSpPr>
            <xdr:cNvPr id="35" name="ZoneTexte 34"/>
            <xdr:cNvSpPr txBox="1"/>
          </xdr:nvSpPr>
          <xdr:spPr>
            <a:xfrm>
              <a:off x="8077200" y="3876675"/>
              <a:ext cx="2200275" cy="314325"/>
            </a:xfrm>
            <a:prstGeom prst="rect">
              <a:avLst/>
            </a:prstGeom>
            <a:solidFill>
              <a:srgbClr val="623563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B47F08A-30CC-432C-8E1F-325DA5B773A9}" type="TxLink">
                <a:rPr lang="en-US" sz="16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ART-00009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pic>
          <xdr:nvPicPr>
            <xdr:cNvPr id="43" name="Image 42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096500" y="3524250"/>
              <a:ext cx="1162050" cy="914400"/>
            </a:xfrm>
            <a:prstGeom prst="rect">
              <a:avLst/>
            </a:prstGeom>
          </xdr:spPr>
        </xdr:pic>
      </xdr:grpSp>
      <xdr:sp macro="" textlink="configuration!G43">
        <xdr:nvSpPr>
          <xdr:cNvPr id="57" name="ZoneTexte 56"/>
          <xdr:cNvSpPr txBox="1"/>
        </xdr:nvSpPr>
        <xdr:spPr>
          <a:xfrm>
            <a:off x="8077200" y="4524375"/>
            <a:ext cx="2200275" cy="314325"/>
          </a:xfrm>
          <a:prstGeom prst="rect">
            <a:avLst/>
          </a:prstGeom>
          <a:solidFill>
            <a:srgbClr val="623563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210146D-B39D-4FDA-BE50-E6F13C14A156}" type="TxLink">
              <a:rPr lang="en-US" sz="16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ART-00010</a:t>
            </a:fld>
            <a:endParaRPr lang="fr-FR" sz="16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133350</xdr:colOff>
          <xdr:row>4</xdr:row>
          <xdr:rowOff>0</xdr:rowOff>
        </xdr:to>
        <xdr:sp macro="" textlink="">
          <xdr:nvSpPr>
            <xdr:cNvPr id="2055" name="ad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76200</xdr:rowOff>
    </xdr:from>
    <xdr:to>
      <xdr:col>24</xdr:col>
      <xdr:colOff>304801</xdr:colOff>
      <xdr:row>0</xdr:row>
      <xdr:rowOff>656964</xdr:rowOff>
    </xdr:to>
    <xdr:grpSp>
      <xdr:nvGrpSpPr>
        <xdr:cNvPr id="3" name="Groupe 2"/>
        <xdr:cNvGrpSpPr/>
      </xdr:nvGrpSpPr>
      <xdr:grpSpPr>
        <a:xfrm>
          <a:off x="0" y="76200"/>
          <a:ext cx="13601701" cy="580764"/>
          <a:chOff x="47625" y="52386"/>
          <a:chExt cx="11430000" cy="580764"/>
        </a:xfrm>
      </xdr:grpSpPr>
      <xdr:sp macro="" textlink="">
        <xdr:nvSpPr>
          <xdr:cNvPr id="4" name="Rectangle à coins arrondis 3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5" name="Rectangle 4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6" name="Rectangle 5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7" name="Rectangle 6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8" name="Rectangle 7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9" name="Rectangle 8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10" name="Rectangle 9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11" name="Rectangle 10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12" name="Rectangle 11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133351</xdr:colOff>
      <xdr:row>0</xdr:row>
      <xdr:rowOff>580764</xdr:rowOff>
    </xdr:to>
    <xdr:grpSp>
      <xdr:nvGrpSpPr>
        <xdr:cNvPr id="2" name="Groupe 1"/>
        <xdr:cNvGrpSpPr/>
      </xdr:nvGrpSpPr>
      <xdr:grpSpPr>
        <a:xfrm>
          <a:off x="0" y="0"/>
          <a:ext cx="13601701" cy="580764"/>
          <a:chOff x="47625" y="52386"/>
          <a:chExt cx="11430000" cy="580764"/>
        </a:xfrm>
      </xdr:grpSpPr>
      <xdr:sp macro="" textlink="">
        <xdr:nvSpPr>
          <xdr:cNvPr id="3" name="Rectangle à coins arrondis 2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4" name="Rectangle 3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5" name="Rectangle 4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6" name="Rectangle 5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7" name="Rectangle 6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8" name="Rectangle 7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9" name="Rectangle 8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10" name="Rectangle 9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11" name="Rectangle 10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247651</xdr:colOff>
      <xdr:row>3</xdr:row>
      <xdr:rowOff>9264</xdr:rowOff>
    </xdr:to>
    <xdr:grpSp>
      <xdr:nvGrpSpPr>
        <xdr:cNvPr id="2" name="Groupe 1"/>
        <xdr:cNvGrpSpPr/>
      </xdr:nvGrpSpPr>
      <xdr:grpSpPr>
        <a:xfrm>
          <a:off x="0" y="0"/>
          <a:ext cx="13601701" cy="580764"/>
          <a:chOff x="47625" y="52386"/>
          <a:chExt cx="11430000" cy="580764"/>
        </a:xfrm>
      </xdr:grpSpPr>
      <xdr:sp macro="" textlink="">
        <xdr:nvSpPr>
          <xdr:cNvPr id="3" name="Rectangle à coins arrondis 2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4" name="Rectangle 3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5" name="Rectangle 4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6" name="Rectangle 5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7" name="Rectangle 6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8" name="Rectangle 7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9" name="Rectangle 8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10" name="Rectangle 9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11" name="Rectangle 10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180975</xdr:rowOff>
        </xdr:from>
        <xdr:to>
          <xdr:col>1</xdr:col>
          <xdr:colOff>923925</xdr:colOff>
          <xdr:row>6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16</xdr:col>
      <xdr:colOff>85726</xdr:colOff>
      <xdr:row>3</xdr:row>
      <xdr:rowOff>9264</xdr:rowOff>
    </xdr:to>
    <xdr:grpSp>
      <xdr:nvGrpSpPr>
        <xdr:cNvPr id="3" name="Groupe 2"/>
        <xdr:cNvGrpSpPr/>
      </xdr:nvGrpSpPr>
      <xdr:grpSpPr>
        <a:xfrm>
          <a:off x="0" y="0"/>
          <a:ext cx="13601701" cy="580764"/>
          <a:chOff x="47625" y="52386"/>
          <a:chExt cx="11430000" cy="580764"/>
        </a:xfrm>
      </xdr:grpSpPr>
      <xdr:sp macro="" textlink="">
        <xdr:nvSpPr>
          <xdr:cNvPr id="4" name="Rectangle à coins arrondis 3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5" name="Rectangle 4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6" name="Rectangle 5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7" name="Rectangle 6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8" name="Rectangle 7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9" name="Rectangle 8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10" name="Rectangle 9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11" name="Rectangle 10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12" name="Rectangle 11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190500</xdr:rowOff>
    </xdr:from>
    <xdr:to>
      <xdr:col>16</xdr:col>
      <xdr:colOff>180976</xdr:colOff>
      <xdr:row>0</xdr:row>
      <xdr:rowOff>771264</xdr:rowOff>
    </xdr:to>
    <xdr:grpSp>
      <xdr:nvGrpSpPr>
        <xdr:cNvPr id="2" name="Groupe 1"/>
        <xdr:cNvGrpSpPr/>
      </xdr:nvGrpSpPr>
      <xdr:grpSpPr>
        <a:xfrm>
          <a:off x="0" y="190500"/>
          <a:ext cx="13601701" cy="580764"/>
          <a:chOff x="47625" y="52386"/>
          <a:chExt cx="11430000" cy="580764"/>
        </a:xfrm>
      </xdr:grpSpPr>
      <xdr:sp macro="" textlink="">
        <xdr:nvSpPr>
          <xdr:cNvPr id="3" name="Rectangle à coins arrondis 2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4" name="Rectangle 3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5" name="Rectangle 4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6" name="Rectangle 5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7" name="Rectangle 6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8" name="Rectangle 7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9" name="Rectangle 8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10" name="Rectangle 9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11" name="Rectangle 10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152400</xdr:colOff>
          <xdr:row>4</xdr:row>
          <xdr:rowOff>9525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16</xdr:col>
      <xdr:colOff>466726</xdr:colOff>
      <xdr:row>1</xdr:row>
      <xdr:rowOff>390264</xdr:rowOff>
    </xdr:to>
    <xdr:grpSp>
      <xdr:nvGrpSpPr>
        <xdr:cNvPr id="3" name="Groupe 2"/>
        <xdr:cNvGrpSpPr/>
      </xdr:nvGrpSpPr>
      <xdr:grpSpPr>
        <a:xfrm>
          <a:off x="0" y="0"/>
          <a:ext cx="13601701" cy="580764"/>
          <a:chOff x="47625" y="52386"/>
          <a:chExt cx="11430000" cy="580764"/>
        </a:xfrm>
      </xdr:grpSpPr>
      <xdr:sp macro="" textlink="">
        <xdr:nvSpPr>
          <xdr:cNvPr id="4" name="Rectangle à coins arrondis 3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5" name="Rectangle 4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6" name="Rectangle 5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7" name="Rectangle 6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8" name="Rectangle 7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9" name="Rectangle 8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10" name="Rectangle 9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11" name="Rectangle 10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12" name="Rectangle 11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533401</xdr:colOff>
      <xdr:row>2</xdr:row>
      <xdr:rowOff>37839</xdr:rowOff>
    </xdr:to>
    <xdr:grpSp>
      <xdr:nvGrpSpPr>
        <xdr:cNvPr id="2" name="Groupe 1"/>
        <xdr:cNvGrpSpPr/>
      </xdr:nvGrpSpPr>
      <xdr:grpSpPr>
        <a:xfrm>
          <a:off x="0" y="0"/>
          <a:ext cx="13601701" cy="580764"/>
          <a:chOff x="47625" y="52386"/>
          <a:chExt cx="11430000" cy="580764"/>
        </a:xfrm>
      </xdr:grpSpPr>
      <xdr:sp macro="" textlink="">
        <xdr:nvSpPr>
          <xdr:cNvPr id="3" name="Rectangle à coins arrondis 2"/>
          <xdr:cNvSpPr/>
        </xdr:nvSpPr>
        <xdr:spPr>
          <a:xfrm>
            <a:off x="47625" y="57150"/>
            <a:ext cx="11430000" cy="576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accueil" textlink="configuration!C8">
        <xdr:nvSpPr>
          <xdr:cNvPr id="4" name="Rectangle 3"/>
          <xdr:cNvSpPr/>
        </xdr:nvSpPr>
        <xdr:spPr>
          <a:xfrm>
            <a:off x="537882" y="52386"/>
            <a:ext cx="933450" cy="576000"/>
          </a:xfrm>
          <a:prstGeom prst="rect">
            <a:avLst/>
          </a:prstGeom>
          <a:ln/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1E4A15-5286-40BA-9D32-6C2D2C8157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accueil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article" textlink="configuration!C9">
        <xdr:nvSpPr>
          <xdr:cNvPr id="5" name="Rectangle 4"/>
          <xdr:cNvSpPr/>
        </xdr:nvSpPr>
        <xdr:spPr>
          <a:xfrm>
            <a:off x="1635499" y="52386"/>
            <a:ext cx="933450" cy="576000"/>
          </a:xfrm>
          <a:prstGeom prst="rect">
            <a:avLst/>
          </a:prstGeom>
          <a:solidFill>
            <a:schemeClr val="bg1">
              <a:lumMod val="50000"/>
            </a:schemeClr>
          </a:solidFill>
          <a:ln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2C5A882-0736-4240-B97C-5DED4776812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article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lients" textlink="configuration!C10">
        <xdr:nvSpPr>
          <xdr:cNvPr id="6" name="Rectangle 5"/>
          <xdr:cNvSpPr/>
        </xdr:nvSpPr>
        <xdr:spPr>
          <a:xfrm>
            <a:off x="2726711" y="52386"/>
            <a:ext cx="933450" cy="576000"/>
          </a:xfrm>
          <a:prstGeom prst="rect">
            <a:avLst/>
          </a:prstGeom>
          <a:solidFill>
            <a:srgbClr val="C00000"/>
          </a:solidFill>
          <a:ln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DF200C2-324A-47DD-8E9C-E2D04AB712E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clients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mmande" textlink="configuration!C11">
        <xdr:nvSpPr>
          <xdr:cNvPr id="7" name="Rectangle 6"/>
          <xdr:cNvSpPr/>
        </xdr:nvSpPr>
        <xdr:spPr>
          <a:xfrm>
            <a:off x="3842656" y="52386"/>
            <a:ext cx="1171575" cy="576000"/>
          </a:xfrm>
          <a:prstGeom prst="rect">
            <a:avLst/>
          </a:prstGeom>
          <a:solidFill>
            <a:schemeClr val="accent5">
              <a:lumMod val="50000"/>
            </a:schemeClr>
          </a:solidFill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AC8B8F43-7F42-4DC3-B6D4-D65E191A86AA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bon" textlink="configuration!C12">
        <xdr:nvSpPr>
          <xdr:cNvPr id="8" name="Rectangle 7"/>
          <xdr:cNvSpPr/>
        </xdr:nvSpPr>
        <xdr:spPr>
          <a:xfrm>
            <a:off x="5168153" y="52386"/>
            <a:ext cx="1490943" cy="576000"/>
          </a:xfrm>
          <a:prstGeom prst="rect">
            <a:avLst/>
          </a:prstGeom>
          <a:solidFill>
            <a:schemeClr val="accent6">
              <a:lumMod val="50000"/>
            </a:schemeClr>
          </a:solidFill>
          <a:ln/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15BBF6-6F54-4BE0-B37C-D2AD4ED15504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bon de commande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transaction" textlink="configuration!C13">
        <xdr:nvSpPr>
          <xdr:cNvPr id="9" name="Rectangle 8"/>
          <xdr:cNvSpPr/>
        </xdr:nvSpPr>
        <xdr:spPr>
          <a:xfrm>
            <a:off x="6827343" y="52386"/>
            <a:ext cx="1362075" cy="576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5FBC5D-1B44-424B-800C-5F36267B6DB5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transaction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fournisseur" textlink="configuration!C14">
        <xdr:nvSpPr>
          <xdr:cNvPr id="10" name="Rectangle 9"/>
          <xdr:cNvSpPr/>
        </xdr:nvSpPr>
        <xdr:spPr>
          <a:xfrm>
            <a:off x="8339497" y="52386"/>
            <a:ext cx="1105060" cy="576000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6AA9F0C-43C2-4244-8D7F-76E0078DC56D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fournisseur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[0]!page_configuration" textlink="configuration!C15">
        <xdr:nvSpPr>
          <xdr:cNvPr id="11" name="Rectangle 10"/>
          <xdr:cNvSpPr/>
        </xdr:nvSpPr>
        <xdr:spPr>
          <a:xfrm>
            <a:off x="9612646" y="52386"/>
            <a:ext cx="1286516" cy="576000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E18F52-A591-4DB2-BD8B-0645CAA1E043}" type="TxLink">
              <a:rPr lang="en-US" sz="1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configuration</a:t>
            </a:fld>
            <a:endParaRPr lang="fr-FR" sz="1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leau1" displayName="Tableau1" ref="B5:V10" totalsRowShown="0" headerRowDxfId="43" dataDxfId="42">
  <tableColumns count="21">
    <tableColumn id="1" name="N° Article" dataDxfId="41"/>
    <tableColumn id="2" name="Nom" dataDxfId="40"/>
    <tableColumn id="3" name="Description" dataDxfId="39"/>
    <tableColumn id="4" name="Prix unitaire" dataDxfId="38"/>
    <tableColumn id="5" name="Stock" dataDxfId="37">
      <calculatedColumnFormula>SUMIFS(Tableau5[Nombre],Tableau5[N° Article],Tableau1[[#This Row],[N° Article]],Tableau5[Type],"Entrée")-SUMIFS(Tableau5[Nombre],Tableau5[N° Article],Tableau1[[#This Row],[N° Article]],Tableau5[Type],"Sortie")</calculatedColumnFormula>
    </tableColumn>
    <tableColumn id="6" name="Valeur Stock" dataDxfId="36">
      <calculatedColumnFormula>E6*F6</calculatedColumnFormula>
    </tableColumn>
    <tableColumn id="7" name="stock minimal" dataDxfId="35"/>
    <tableColumn id="8" name="état" dataDxfId="34">
      <calculatedColumnFormula>IF(F6&lt;H6,1,"")</calculatedColumnFormula>
    </tableColumn>
    <tableColumn id="21" name="statut" dataDxfId="33"/>
    <tableColumn id="9" name="Vide" dataDxfId="32"/>
    <tableColumn id="10" name="1" dataDxfId="31"/>
    <tableColumn id="11" name="2" dataDxfId="30"/>
    <tableColumn id="12" name="3" dataDxfId="29"/>
    <tableColumn id="13" name="4" dataDxfId="28"/>
    <tableColumn id="14" name="5" dataDxfId="27"/>
    <tableColumn id="15" name="6" dataDxfId="26"/>
    <tableColumn id="16" name="7" dataDxfId="25"/>
    <tableColumn id="17" name="8" dataDxfId="24"/>
    <tableColumn id="18" name="9" dataDxfId="23"/>
    <tableColumn id="19" name="10" dataDxfId="22"/>
    <tableColumn id="20" name="&gt;10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leau4" displayName="Tableau4" ref="B4:E18" totalsRowShown="0" headerRowDxfId="20">
  <autoFilter ref="B4:E18"/>
  <tableColumns count="4">
    <tableColumn id="1" name="Nom"/>
    <tableColumn id="2" name="Ville"/>
    <tableColumn id="3" name="Téléphone"/>
    <tableColumn id="4" name="Mail" dataCellStyle="Lien hypertext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Tableau2" displayName="Tableau2" ref="B8:K20" totalsRowShown="0" headerRowDxfId="19">
  <tableColumns count="10">
    <tableColumn id="1" name="N° commande"/>
    <tableColumn id="2" name="Date"/>
    <tableColumn id="3" name="N° Article"/>
    <tableColumn id="4" name="Nom"/>
    <tableColumn id="5" name="Nombre"/>
    <tableColumn id="6" name="Prix" dataDxfId="18"/>
    <tableColumn id="7" name="Prix total">
      <calculatedColumnFormula>G9*F9</calculatedColumnFormula>
    </tableColumn>
    <tableColumn id="8" name="Fournisseur"/>
    <tableColumn id="9" name="contrôle" dataDxfId="17">
      <calculatedColumnFormula array="1">IFERROR(INDEX(Tableau5[Nombre],MATCH(1,(Tableau2[[#This Row],[N° commande]]=Tableau5[N° Bon de Commande])*(Tableau2[[#This Row],[N° Article]]=Tableau5[N° Article]),0)),"")</calculatedColumnFormula>
    </tableColumn>
    <tableColumn id="10" name="check" dataDxfId="16">
      <calculatedColumnFormula array="1">IF(Tableau2[[#This Row],[contrôle]]=Tableau2[[#This Row],[Nombre]],"Fermé","Ouvert")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B5:I17" totalsRowShown="0" headerRowDxfId="15">
  <autoFilter ref="B5:I1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Type"/>
    <tableColumn id="2" name="N° Facture"/>
    <tableColumn id="3" name="N° Bon de Commande"/>
    <tableColumn id="4" name="Fournisseur"/>
    <tableColumn id="5" name="Client"/>
    <tableColumn id="6" name="N° Article"/>
    <tableColumn id="7" name="Nombre"/>
    <tableColumn id="8" name="Rang" dataDxfId="14">
      <calculatedColumnFormula>IF(Tableau5[[#This Row],[Type]]="Sortie",COUNTIFS(Tableau5[Type],Tableau5[[#This Row],[Type]],Tableau5[Nombre],"&gt;"&amp;Tableau5[[#This Row],[Nombre]])+1,"")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ableau3" displayName="Tableau3" ref="B4:E16" totalsRowShown="0" headerRowDxfId="13">
  <autoFilter ref="B4:E16"/>
  <tableColumns count="4">
    <tableColumn id="1" name="Nom"/>
    <tableColumn id="2" name="Ville"/>
    <tableColumn id="3" name="Téléphone"/>
    <tableColumn id="4" name="Mail" dataCellStyle="Lien hypertex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bocchianaba@gmail.com" TargetMode="External"/><Relationship Id="rId13" Type="http://schemas.openxmlformats.org/officeDocument/2006/relationships/hyperlink" Target="mailto:bocchianaba@gmail.com" TargetMode="External"/><Relationship Id="rId3" Type="http://schemas.openxmlformats.org/officeDocument/2006/relationships/hyperlink" Target="mailto:bocchianaba@gmail.com" TargetMode="External"/><Relationship Id="rId7" Type="http://schemas.openxmlformats.org/officeDocument/2006/relationships/hyperlink" Target="mailto:bocchianaba@gmail.com" TargetMode="External"/><Relationship Id="rId12" Type="http://schemas.openxmlformats.org/officeDocument/2006/relationships/hyperlink" Target="mailto:bocchianaba@gmail.com" TargetMode="External"/><Relationship Id="rId2" Type="http://schemas.openxmlformats.org/officeDocument/2006/relationships/hyperlink" Target="mailto:bocchianaba@gmail.com" TargetMode="External"/><Relationship Id="rId16" Type="http://schemas.openxmlformats.org/officeDocument/2006/relationships/table" Target="../tables/table2.xml"/><Relationship Id="rId1" Type="http://schemas.openxmlformats.org/officeDocument/2006/relationships/hyperlink" Target="mailto:bocchianaba@gmail.com" TargetMode="External"/><Relationship Id="rId6" Type="http://schemas.openxmlformats.org/officeDocument/2006/relationships/hyperlink" Target="mailto:bocchianaba@gmail.com" TargetMode="External"/><Relationship Id="rId11" Type="http://schemas.openxmlformats.org/officeDocument/2006/relationships/hyperlink" Target="mailto:bocchianaba@gmail.com" TargetMode="External"/><Relationship Id="rId5" Type="http://schemas.openxmlformats.org/officeDocument/2006/relationships/hyperlink" Target="mailto:bocchianaba@gmail.com" TargetMode="External"/><Relationship Id="rId15" Type="http://schemas.openxmlformats.org/officeDocument/2006/relationships/drawing" Target="../drawings/drawing3.xml"/><Relationship Id="rId10" Type="http://schemas.openxmlformats.org/officeDocument/2006/relationships/hyperlink" Target="mailto:bocchianaba@gmail.com" TargetMode="External"/><Relationship Id="rId4" Type="http://schemas.openxmlformats.org/officeDocument/2006/relationships/hyperlink" Target="mailto:bocchianaba@gmail.com" TargetMode="External"/><Relationship Id="rId9" Type="http://schemas.openxmlformats.org/officeDocument/2006/relationships/hyperlink" Target="mailto:bocchianaba@gmail.com" TargetMode="External"/><Relationship Id="rId14" Type="http://schemas.openxmlformats.org/officeDocument/2006/relationships/hyperlink" Target="mailto:bocchianaba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bocchianaba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5" Type="http://schemas.openxmlformats.org/officeDocument/2006/relationships/table" Target="../tables/table4.xml"/><Relationship Id="rId4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bocchianaba@gmail.com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mailto:bocchianaba@gmail.com" TargetMode="External"/><Relationship Id="rId7" Type="http://schemas.openxmlformats.org/officeDocument/2006/relationships/hyperlink" Target="mailto:bocchianaba@gmail.com" TargetMode="External"/><Relationship Id="rId12" Type="http://schemas.openxmlformats.org/officeDocument/2006/relationships/hyperlink" Target="mailto:bocchianaba@gmail.com" TargetMode="External"/><Relationship Id="rId2" Type="http://schemas.openxmlformats.org/officeDocument/2006/relationships/hyperlink" Target="mailto:bocchianaba@gmail.com" TargetMode="External"/><Relationship Id="rId1" Type="http://schemas.openxmlformats.org/officeDocument/2006/relationships/hyperlink" Target="mailto:bocchianaba@gmail.com" TargetMode="External"/><Relationship Id="rId6" Type="http://schemas.openxmlformats.org/officeDocument/2006/relationships/hyperlink" Target="mailto:bocchianaba@gmail.com" TargetMode="External"/><Relationship Id="rId11" Type="http://schemas.openxmlformats.org/officeDocument/2006/relationships/hyperlink" Target="mailto:bocchianaba@gmail.com" TargetMode="External"/><Relationship Id="rId5" Type="http://schemas.openxmlformats.org/officeDocument/2006/relationships/hyperlink" Target="mailto:bocchianaba@gmail.com" TargetMode="External"/><Relationship Id="rId10" Type="http://schemas.openxmlformats.org/officeDocument/2006/relationships/hyperlink" Target="mailto:bocchianaba@gmail.com" TargetMode="External"/><Relationship Id="rId4" Type="http://schemas.openxmlformats.org/officeDocument/2006/relationships/hyperlink" Target="mailto:bocchianaba@gmail.com" TargetMode="External"/><Relationship Id="rId9" Type="http://schemas.openxmlformats.org/officeDocument/2006/relationships/hyperlink" Target="mailto:bocchianaba@gmail.com" TargetMode="External"/><Relationship Id="rId1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1:Q13"/>
  <sheetViews>
    <sheetView showGridLines="0" workbookViewId="0">
      <selection activeCell="B4" sqref="B4"/>
    </sheetView>
  </sheetViews>
  <sheetFormatPr baseColWidth="10" defaultRowHeight="15" x14ac:dyDescent="0.25"/>
  <cols>
    <col min="16" max="16" width="12.85546875" customWidth="1"/>
  </cols>
  <sheetData>
    <row r="1" spans="4:17" ht="34.5" customHeight="1" x14ac:dyDescent="0.25"/>
    <row r="3" spans="4:17" ht="15.75" thickBot="1" x14ac:dyDescent="0.3"/>
    <row r="4" spans="4:17" ht="33" customHeight="1" thickBot="1" x14ac:dyDescent="0.5">
      <c r="D4" s="35" t="s">
        <v>0</v>
      </c>
      <c r="E4" s="36"/>
      <c r="F4" s="36"/>
      <c r="G4" s="36"/>
      <c r="H4" s="36"/>
      <c r="I4" s="36"/>
      <c r="J4" s="36"/>
      <c r="K4" s="36"/>
      <c r="L4" s="37"/>
    </row>
    <row r="5" spans="4:17" ht="18.75" x14ac:dyDescent="0.3">
      <c r="D5" s="1"/>
    </row>
    <row r="13" spans="4:17" x14ac:dyDescent="0.25">
      <c r="Q13" s="23"/>
    </row>
  </sheetData>
  <mergeCells count="1">
    <mergeCell ref="D4:L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V10"/>
  <sheetViews>
    <sheetView showGridLines="0" workbookViewId="0">
      <selection activeCell="F6" sqref="F6"/>
    </sheetView>
  </sheetViews>
  <sheetFormatPr baseColWidth="10" defaultRowHeight="15" x14ac:dyDescent="0.25"/>
  <cols>
    <col min="1" max="1" width="4.28515625" customWidth="1"/>
    <col min="2" max="2" width="11.5703125" style="2" customWidth="1"/>
    <col min="3" max="3" width="16.42578125" style="2" customWidth="1"/>
    <col min="4" max="4" width="13.28515625" style="2" customWidth="1"/>
    <col min="5" max="5" width="14" style="10" customWidth="1"/>
    <col min="6" max="6" width="7.85546875" style="2" customWidth="1"/>
    <col min="7" max="7" width="14.140625" style="2" customWidth="1"/>
    <col min="8" max="8" width="15.42578125" style="2" customWidth="1"/>
    <col min="9" max="9" width="11.85546875" style="2" customWidth="1"/>
    <col min="10" max="10" width="11.85546875" style="11" customWidth="1"/>
    <col min="11" max="11" width="7.28515625" style="2" customWidth="1"/>
    <col min="12" max="20" width="4.140625" style="2" customWidth="1"/>
    <col min="21" max="21" width="5.140625" style="2" customWidth="1"/>
    <col min="22" max="22" width="6.140625" style="2" customWidth="1"/>
  </cols>
  <sheetData>
    <row r="1" spans="2:22" ht="57.75" customHeight="1" x14ac:dyDescent="0.25"/>
    <row r="4" spans="2:22" x14ac:dyDescent="0.25">
      <c r="L4" s="2">
        <v>1</v>
      </c>
      <c r="M4" s="2">
        <v>2</v>
      </c>
      <c r="N4" s="2">
        <v>3</v>
      </c>
      <c r="O4" s="2">
        <v>4</v>
      </c>
      <c r="P4" s="2">
        <v>5</v>
      </c>
      <c r="Q4" s="2">
        <v>6</v>
      </c>
      <c r="R4" s="2">
        <v>7</v>
      </c>
      <c r="S4" s="2">
        <v>8</v>
      </c>
      <c r="T4" s="2">
        <v>9</v>
      </c>
      <c r="U4" s="2">
        <v>10</v>
      </c>
    </row>
    <row r="5" spans="2:22" x14ac:dyDescent="0.25">
      <c r="B5" s="2" t="s">
        <v>1</v>
      </c>
      <c r="C5" s="2" t="s">
        <v>2</v>
      </c>
      <c r="D5" s="2" t="s">
        <v>3</v>
      </c>
      <c r="E5" s="10" t="s">
        <v>4</v>
      </c>
      <c r="F5" s="2" t="s">
        <v>5</v>
      </c>
      <c r="G5" s="2" t="s">
        <v>6</v>
      </c>
      <c r="H5" s="2" t="s">
        <v>9</v>
      </c>
      <c r="I5" s="2" t="s">
        <v>10</v>
      </c>
      <c r="J5" s="11" t="s">
        <v>24</v>
      </c>
      <c r="K5" s="2" t="s">
        <v>7</v>
      </c>
      <c r="L5" s="2" t="s">
        <v>11</v>
      </c>
      <c r="M5" s="2" t="s">
        <v>12</v>
      </c>
      <c r="N5" s="2" t="s">
        <v>13</v>
      </c>
      <c r="O5" s="2" t="s">
        <v>14</v>
      </c>
      <c r="P5" s="2" t="s">
        <v>15</v>
      </c>
      <c r="Q5" s="2" t="s">
        <v>16</v>
      </c>
      <c r="R5" s="2" t="s">
        <v>17</v>
      </c>
      <c r="S5" s="2" t="s">
        <v>18</v>
      </c>
      <c r="T5" s="2" t="s">
        <v>19</v>
      </c>
      <c r="U5" s="2" t="s">
        <v>20</v>
      </c>
      <c r="V5" s="2" t="s">
        <v>8</v>
      </c>
    </row>
    <row r="6" spans="2:22" x14ac:dyDescent="0.25">
      <c r="B6" s="2" t="s">
        <v>141</v>
      </c>
      <c r="C6" s="2" t="s">
        <v>27</v>
      </c>
      <c r="D6" s="2" t="s">
        <v>26</v>
      </c>
      <c r="E6" s="10">
        <v>100</v>
      </c>
      <c r="F6" s="2">
        <f>SUMIFS(Tableau5[Nombre],Tableau5[N° Article],Tableau1[[#This Row],[N° Article]],Tableau5[Type],"Entrée")-SUMIFS(Tableau5[Nombre],Tableau5[N° Article],Tableau1[[#This Row],[N° Article]],Tableau5[Type],"Sortie")</f>
        <v>59</v>
      </c>
      <c r="G6" s="2">
        <f>E6*F6</f>
        <v>5900</v>
      </c>
      <c r="H6" s="31">
        <v>25</v>
      </c>
      <c r="I6" s="3" t="str">
        <f>IF(F6&lt;H6,1,"")</f>
        <v/>
      </c>
      <c r="J6" s="12" t="s">
        <v>25</v>
      </c>
    </row>
    <row r="7" spans="2:22" x14ac:dyDescent="0.25">
      <c r="B7" s="2" t="s">
        <v>142</v>
      </c>
      <c r="C7" s="2" t="s">
        <v>143</v>
      </c>
      <c r="D7" s="2" t="s">
        <v>143</v>
      </c>
      <c r="E7" s="10">
        <v>50</v>
      </c>
      <c r="F7" s="2">
        <f>SUMIFS(Tableau5[Nombre],Tableau5[N° Article],Tableau1[[#This Row],[N° Article]],Tableau5[Type],"Entrée")-SUMIFS(Tableau5[Nombre],Tableau5[N° Article],Tableau1[[#This Row],[N° Article]],Tableau5[Type],"Sortie")</f>
        <v>6</v>
      </c>
      <c r="G7" s="2">
        <f>E7*F7</f>
        <v>300</v>
      </c>
      <c r="H7" s="31">
        <v>25</v>
      </c>
      <c r="I7" s="3">
        <f>IF(F7&lt;H7,1,"")</f>
        <v>1</v>
      </c>
      <c r="J7" s="12" t="s">
        <v>25</v>
      </c>
    </row>
    <row r="8" spans="2:22" x14ac:dyDescent="0.25">
      <c r="B8" s="2" t="s">
        <v>144</v>
      </c>
      <c r="C8" s="2" t="s">
        <v>145</v>
      </c>
      <c r="D8" s="2" t="s">
        <v>145</v>
      </c>
      <c r="E8" s="10">
        <v>50</v>
      </c>
      <c r="F8" s="2">
        <f>SUMIFS(Tableau5[Nombre],Tableau5[N° Article],Tableau1[[#This Row],[N° Article]],Tableau5[Type],"Entrée")-SUMIFS(Tableau5[Nombre],Tableau5[N° Article],Tableau1[[#This Row],[N° Article]],Tableau5[Type],"Sortie")</f>
        <v>86</v>
      </c>
      <c r="G8" s="2">
        <f>E8*F8</f>
        <v>4300</v>
      </c>
      <c r="H8" s="31">
        <v>12</v>
      </c>
      <c r="I8" s="3" t="str">
        <f>IF(F8&lt;H8,1,"")</f>
        <v/>
      </c>
      <c r="J8" s="12" t="s">
        <v>25</v>
      </c>
    </row>
    <row r="9" spans="2:22" x14ac:dyDescent="0.25">
      <c r="B9" s="2" t="s">
        <v>147</v>
      </c>
      <c r="C9" s="2" t="s">
        <v>148</v>
      </c>
      <c r="D9" s="2" t="s">
        <v>149</v>
      </c>
      <c r="E9" s="10">
        <v>1000</v>
      </c>
      <c r="F9" s="2">
        <f>SUMIFS(Tableau5[Nombre],Tableau5[N° Article],Tableau1[[#This Row],[N° Article]],Tableau5[Type],"Entrée")-SUMIFS(Tableau5[Nombre],Tableau5[N° Article],Tableau1[[#This Row],[N° Article]],Tableau5[Type],"Sortie")</f>
        <v>2</v>
      </c>
      <c r="G9" s="2">
        <f>E9*F9</f>
        <v>2000</v>
      </c>
      <c r="H9" s="31">
        <v>12</v>
      </c>
      <c r="I9" s="3">
        <f>IF(F9&lt;H9,1,"")</f>
        <v>1</v>
      </c>
      <c r="J9" s="12" t="s">
        <v>25</v>
      </c>
    </row>
    <row r="10" spans="2:22" x14ac:dyDescent="0.25">
      <c r="B10" s="2" t="s">
        <v>153</v>
      </c>
      <c r="C10" s="2" t="s">
        <v>154</v>
      </c>
      <c r="D10" s="2" t="s">
        <v>155</v>
      </c>
      <c r="E10" s="10">
        <v>2500</v>
      </c>
      <c r="F10" s="2">
        <f>SUMIFS(Tableau5[Nombre],Tableau5[N° Article],Tableau1[[#This Row],[N° Article]],Tableau5[Type],"Entrée")-SUMIFS(Tableau5[Nombre],Tableau5[N° Article],Tableau1[[#This Row],[N° Article]],Tableau5[Type],"Sortie")</f>
        <v>12</v>
      </c>
      <c r="G10" s="2">
        <f>E10*F10</f>
        <v>30000</v>
      </c>
      <c r="H10" s="31">
        <v>2</v>
      </c>
      <c r="I10" s="3" t="str">
        <f>IF(F10&lt;H10,1,"")</f>
        <v/>
      </c>
      <c r="J10" s="12" t="s">
        <v>25</v>
      </c>
    </row>
  </sheetData>
  <conditionalFormatting sqref="L6:V10">
    <cfRule type="expression" dxfId="12" priority="6">
      <formula>$B6&lt;&gt;""</formula>
    </cfRule>
  </conditionalFormatting>
  <conditionalFormatting sqref="L6:U10">
    <cfRule type="expression" dxfId="11" priority="3">
      <formula>AND($B6&lt;&gt;"",$F6&lt;$H6,$F6&gt;=L$4)</formula>
    </cfRule>
    <cfRule type="expression" dxfId="10" priority="5">
      <formula>AND($B6&lt;&gt;"",$F6&gt;=$H6,$F6&gt;=L$4)</formula>
    </cfRule>
  </conditionalFormatting>
  <conditionalFormatting sqref="K6:K10">
    <cfRule type="expression" dxfId="9" priority="4">
      <formula>$F6=0</formula>
    </cfRule>
  </conditionalFormatting>
  <conditionalFormatting sqref="V6:V10">
    <cfRule type="expression" dxfId="8" priority="1">
      <formula>AND($B6&lt;&gt;"",$F6&lt;H6,$F6&gt;$U$4)</formula>
    </cfRule>
    <cfRule type="expression" dxfId="7" priority="2">
      <formula>AND($B6&lt;&gt;"",$F6&gt;=$H6,$F6&gt;$U$4)</formula>
    </cfRule>
  </conditionalFormatting>
  <dataValidations count="1">
    <dataValidation type="list" allowBlank="1" showInputMessage="1" showErrorMessage="1" sqref="J1:J5 J11:J1048576">
      <formula1>"actif,inactif"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5" r:id="rId3" name="add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133350</xdr:colOff>
                <xdr:row>4</xdr:row>
                <xdr:rowOff>0</xdr:rowOff>
              </to>
            </anchor>
          </controlPr>
        </control>
      </mc:Choice>
      <mc:Fallback>
        <control shapeId="2055" r:id="rId3" name="add"/>
      </mc:Fallback>
    </mc:AlternateContent>
  </controls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05B6EF0C-00AC-4A1B-8599-6DDCBE87FEDE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I6:J10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1:E18"/>
  <sheetViews>
    <sheetView workbookViewId="0">
      <selection activeCell="G3" sqref="G3"/>
    </sheetView>
  </sheetViews>
  <sheetFormatPr baseColWidth="10" defaultRowHeight="15" x14ac:dyDescent="0.25"/>
  <cols>
    <col min="1" max="1" width="15.140625" customWidth="1"/>
    <col min="4" max="4" width="12.7109375" customWidth="1"/>
    <col min="5" max="5" width="25.5703125" customWidth="1"/>
  </cols>
  <sheetData>
    <row r="1" spans="2:5" ht="66" customHeight="1" x14ac:dyDescent="0.25"/>
    <row r="4" spans="2:5" x14ac:dyDescent="0.25">
      <c r="B4" s="2" t="s">
        <v>2</v>
      </c>
      <c r="C4" s="2" t="s">
        <v>34</v>
      </c>
      <c r="D4" s="2" t="s">
        <v>35</v>
      </c>
      <c r="E4" s="2" t="s">
        <v>36</v>
      </c>
    </row>
    <row r="5" spans="2:5" x14ac:dyDescent="0.25">
      <c r="B5" t="s">
        <v>51</v>
      </c>
      <c r="C5" t="s">
        <v>38</v>
      </c>
      <c r="D5" t="s">
        <v>52</v>
      </c>
      <c r="E5" s="13" t="s">
        <v>39</v>
      </c>
    </row>
    <row r="6" spans="2:5" x14ac:dyDescent="0.25">
      <c r="B6" t="s">
        <v>53</v>
      </c>
      <c r="C6" t="s">
        <v>38</v>
      </c>
      <c r="D6" t="s">
        <v>54</v>
      </c>
      <c r="E6" s="13" t="s">
        <v>39</v>
      </c>
    </row>
    <row r="7" spans="2:5" x14ac:dyDescent="0.25">
      <c r="B7" t="s">
        <v>55</v>
      </c>
      <c r="C7" t="s">
        <v>38</v>
      </c>
      <c r="D7" t="s">
        <v>56</v>
      </c>
      <c r="E7" s="13" t="s">
        <v>39</v>
      </c>
    </row>
    <row r="8" spans="2:5" x14ac:dyDescent="0.25">
      <c r="B8" t="s">
        <v>57</v>
      </c>
      <c r="C8" t="s">
        <v>38</v>
      </c>
      <c r="D8" t="s">
        <v>58</v>
      </c>
      <c r="E8" s="13" t="s">
        <v>39</v>
      </c>
    </row>
    <row r="9" spans="2:5" x14ac:dyDescent="0.25">
      <c r="B9" t="s">
        <v>59</v>
      </c>
      <c r="C9" t="s">
        <v>38</v>
      </c>
      <c r="D9" t="s">
        <v>60</v>
      </c>
      <c r="E9" s="13" t="s">
        <v>39</v>
      </c>
    </row>
    <row r="10" spans="2:5" x14ac:dyDescent="0.25">
      <c r="B10" t="s">
        <v>61</v>
      </c>
      <c r="C10" t="s">
        <v>38</v>
      </c>
      <c r="D10" t="s">
        <v>62</v>
      </c>
      <c r="E10" s="13" t="s">
        <v>39</v>
      </c>
    </row>
    <row r="11" spans="2:5" x14ac:dyDescent="0.25">
      <c r="B11" t="s">
        <v>63</v>
      </c>
      <c r="C11" t="s">
        <v>38</v>
      </c>
      <c r="D11" t="s">
        <v>64</v>
      </c>
      <c r="E11" s="13" t="s">
        <v>39</v>
      </c>
    </row>
    <row r="12" spans="2:5" x14ac:dyDescent="0.25">
      <c r="B12" t="s">
        <v>65</v>
      </c>
      <c r="C12" t="s">
        <v>38</v>
      </c>
      <c r="D12" t="s">
        <v>66</v>
      </c>
      <c r="E12" s="13" t="s">
        <v>39</v>
      </c>
    </row>
    <row r="13" spans="2:5" x14ac:dyDescent="0.25">
      <c r="B13" t="s">
        <v>67</v>
      </c>
      <c r="C13" t="s">
        <v>38</v>
      </c>
      <c r="D13" t="s">
        <v>68</v>
      </c>
      <c r="E13" s="13" t="s">
        <v>39</v>
      </c>
    </row>
    <row r="14" spans="2:5" x14ac:dyDescent="0.25">
      <c r="B14" t="s">
        <v>69</v>
      </c>
      <c r="C14" t="s">
        <v>38</v>
      </c>
      <c r="D14" t="s">
        <v>70</v>
      </c>
      <c r="E14" s="13" t="s">
        <v>39</v>
      </c>
    </row>
    <row r="15" spans="2:5" x14ac:dyDescent="0.25">
      <c r="B15" t="s">
        <v>71</v>
      </c>
      <c r="C15" t="s">
        <v>38</v>
      </c>
      <c r="D15" t="s">
        <v>72</v>
      </c>
      <c r="E15" s="13" t="s">
        <v>39</v>
      </c>
    </row>
    <row r="16" spans="2:5" x14ac:dyDescent="0.25">
      <c r="B16" t="s">
        <v>73</v>
      </c>
      <c r="C16" t="s">
        <v>38</v>
      </c>
      <c r="D16" t="s">
        <v>74</v>
      </c>
      <c r="E16" s="13" t="s">
        <v>39</v>
      </c>
    </row>
    <row r="17" spans="2:5" x14ac:dyDescent="0.25">
      <c r="B17" t="s">
        <v>75</v>
      </c>
      <c r="C17" t="s">
        <v>38</v>
      </c>
      <c r="D17" t="s">
        <v>76</v>
      </c>
      <c r="E17" s="13" t="s">
        <v>39</v>
      </c>
    </row>
    <row r="18" spans="2:5" x14ac:dyDescent="0.25">
      <c r="B18" t="s">
        <v>77</v>
      </c>
      <c r="C18" t="s">
        <v>38</v>
      </c>
      <c r="D18" t="s">
        <v>78</v>
      </c>
      <c r="E18" s="13" t="s">
        <v>39</v>
      </c>
    </row>
  </sheetData>
  <hyperlinks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6" r:id="rId12"/>
    <hyperlink ref="E17" r:id="rId13"/>
    <hyperlink ref="E18" r:id="rId14"/>
  </hyperlinks>
  <pageMargins left="0.7" right="0.7" top="0.75" bottom="0.75" header="0.3" footer="0.3"/>
  <drawing r:id="rId15"/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6:G43"/>
  <sheetViews>
    <sheetView topLeftCell="A16" workbookViewId="0">
      <selection activeCell="F43" sqref="F43"/>
    </sheetView>
  </sheetViews>
  <sheetFormatPr baseColWidth="10" defaultRowHeight="15" x14ac:dyDescent="0.25"/>
  <cols>
    <col min="2" max="2" width="17.42578125" customWidth="1"/>
  </cols>
  <sheetData>
    <row r="6" spans="2:5" x14ac:dyDescent="0.25">
      <c r="B6" s="4" t="s">
        <v>124</v>
      </c>
      <c r="C6" s="5"/>
      <c r="D6" s="5"/>
      <c r="E6" s="5"/>
    </row>
    <row r="8" spans="2:5" x14ac:dyDescent="0.25">
      <c r="B8" s="30" t="s">
        <v>125</v>
      </c>
      <c r="C8" t="s">
        <v>133</v>
      </c>
    </row>
    <row r="9" spans="2:5" x14ac:dyDescent="0.25">
      <c r="B9" s="30" t="s">
        <v>126</v>
      </c>
      <c r="C9" t="s">
        <v>134</v>
      </c>
    </row>
    <row r="10" spans="2:5" x14ac:dyDescent="0.25">
      <c r="B10" s="30" t="s">
        <v>127</v>
      </c>
      <c r="C10" t="s">
        <v>135</v>
      </c>
    </row>
    <row r="11" spans="2:5" x14ac:dyDescent="0.25">
      <c r="B11" s="30" t="s">
        <v>128</v>
      </c>
      <c r="C11" t="s">
        <v>137</v>
      </c>
    </row>
    <row r="12" spans="2:5" x14ac:dyDescent="0.25">
      <c r="B12" s="30" t="s">
        <v>129</v>
      </c>
      <c r="C12" t="s">
        <v>138</v>
      </c>
    </row>
    <row r="13" spans="2:5" x14ac:dyDescent="0.25">
      <c r="B13" s="30" t="s">
        <v>130</v>
      </c>
      <c r="C13" t="s">
        <v>139</v>
      </c>
    </row>
    <row r="14" spans="2:5" x14ac:dyDescent="0.25">
      <c r="B14" s="30" t="s">
        <v>131</v>
      </c>
      <c r="C14" t="s">
        <v>140</v>
      </c>
    </row>
    <row r="15" spans="2:5" x14ac:dyDescent="0.25">
      <c r="B15" s="30" t="s">
        <v>132</v>
      </c>
      <c r="C15" t="s">
        <v>136</v>
      </c>
    </row>
    <row r="17" spans="2:5" x14ac:dyDescent="0.25">
      <c r="B17" s="4" t="s">
        <v>21</v>
      </c>
      <c r="C17" s="5"/>
      <c r="D17" s="5"/>
      <c r="E17" s="5"/>
    </row>
    <row r="18" spans="2:5" ht="15.75" thickBot="1" x14ac:dyDescent="0.3"/>
    <row r="19" spans="2:5" ht="15.75" thickBot="1" x14ac:dyDescent="0.3">
      <c r="B19" s="6" t="s">
        <v>22</v>
      </c>
      <c r="C19" s="7" t="s">
        <v>23</v>
      </c>
      <c r="D19" s="8">
        <v>12</v>
      </c>
      <c r="E19" s="9" t="str">
        <f>C19&amp;TEXT(D19,"00000")</f>
        <v>ART-00012</v>
      </c>
    </row>
    <row r="20" spans="2:5" ht="15.75" thickBot="1" x14ac:dyDescent="0.3">
      <c r="B20" s="6" t="s">
        <v>80</v>
      </c>
      <c r="C20" s="7" t="s">
        <v>79</v>
      </c>
      <c r="D20" s="8">
        <v>16</v>
      </c>
      <c r="E20" s="9" t="str">
        <f>C20&amp;TEXT(D20,"00000")</f>
        <v>CMD-00016</v>
      </c>
    </row>
    <row r="21" spans="2:5" ht="15.75" thickBot="1" x14ac:dyDescent="0.3">
      <c r="B21" s="6" t="s">
        <v>105</v>
      </c>
      <c r="C21" s="7" t="s">
        <v>106</v>
      </c>
      <c r="D21" s="8">
        <v>1</v>
      </c>
      <c r="E21" s="9" t="str">
        <f>C21&amp;TEXT(D21,"00000")</f>
        <v>LIV-00001</v>
      </c>
    </row>
    <row r="26" spans="2:5" x14ac:dyDescent="0.25">
      <c r="B26" s="24" t="s">
        <v>90</v>
      </c>
      <c r="C26" s="5"/>
      <c r="D26" s="5"/>
      <c r="E26" s="25">
        <v>0.21</v>
      </c>
    </row>
    <row r="29" spans="2:5" x14ac:dyDescent="0.25">
      <c r="B29" s="24" t="s">
        <v>93</v>
      </c>
      <c r="C29" s="5"/>
      <c r="D29" s="5"/>
      <c r="E29" s="5"/>
    </row>
    <row r="31" spans="2:5" x14ac:dyDescent="0.25">
      <c r="B31" s="26" t="s">
        <v>94</v>
      </c>
      <c r="C31" t="s">
        <v>81</v>
      </c>
    </row>
    <row r="32" spans="2:5" x14ac:dyDescent="0.25">
      <c r="B32" s="26" t="s">
        <v>95</v>
      </c>
      <c r="C32" t="s">
        <v>98</v>
      </c>
    </row>
    <row r="33" spans="2:7" x14ac:dyDescent="0.25">
      <c r="B33" s="26" t="s">
        <v>96</v>
      </c>
      <c r="C33" s="27">
        <v>695197322</v>
      </c>
    </row>
    <row r="34" spans="2:7" x14ac:dyDescent="0.25">
      <c r="B34" s="26" t="s">
        <v>97</v>
      </c>
      <c r="C34" s="13" t="s">
        <v>39</v>
      </c>
    </row>
    <row r="36" spans="2:7" x14ac:dyDescent="0.25">
      <c r="B36" s="4" t="s">
        <v>111</v>
      </c>
      <c r="C36" s="5"/>
      <c r="D36" s="5"/>
      <c r="E36" s="5"/>
    </row>
    <row r="38" spans="2:7" x14ac:dyDescent="0.25">
      <c r="B38" t="s">
        <v>112</v>
      </c>
      <c r="C38" s="38" t="s">
        <v>118</v>
      </c>
      <c r="D38" s="38"/>
      <c r="E38">
        <f t="array" ref="E38">SUM(Tableau1[Valeur Stock])</f>
        <v>42500</v>
      </c>
    </row>
    <row r="39" spans="2:7" x14ac:dyDescent="0.25">
      <c r="B39" t="s">
        <v>113</v>
      </c>
      <c r="C39" s="38" t="s">
        <v>119</v>
      </c>
      <c r="D39" s="38"/>
      <c r="E39">
        <f t="array" ref="E39">COUNTIF(Tableau2[check],"Ouvert")</f>
        <v>12</v>
      </c>
    </row>
    <row r="40" spans="2:7" x14ac:dyDescent="0.25">
      <c r="B40" t="s">
        <v>114</v>
      </c>
      <c r="C40" s="38" t="s">
        <v>120</v>
      </c>
      <c r="D40" s="38"/>
      <c r="E40">
        <f t="array" ref="E40">COUNTIF(Tableau1[état],1)</f>
        <v>2</v>
      </c>
    </row>
    <row r="41" spans="2:7" x14ac:dyDescent="0.25">
      <c r="B41" t="s">
        <v>115</v>
      </c>
      <c r="C41" s="38" t="s">
        <v>121</v>
      </c>
      <c r="D41" s="38"/>
      <c r="E41">
        <f t="array" ref="E41">COUNTIF(Tableau1[statut],"actif")</f>
        <v>5</v>
      </c>
    </row>
    <row r="42" spans="2:7" x14ac:dyDescent="0.25">
      <c r="B42" t="s">
        <v>116</v>
      </c>
      <c r="C42" s="38" t="s">
        <v>122</v>
      </c>
      <c r="D42" s="38"/>
      <c r="E42">
        <f t="array" ref="E42">SUM(Tableau1[Stock])</f>
        <v>165</v>
      </c>
    </row>
    <row r="43" spans="2:7" x14ac:dyDescent="0.25">
      <c r="B43" t="s">
        <v>117</v>
      </c>
      <c r="C43" s="38" t="s">
        <v>123</v>
      </c>
      <c r="D43" s="38"/>
      <c r="E43" t="str">
        <f>INDEX(Tableau5[N° Article],MATCH(1,Tableau5[Rang]),0)</f>
        <v>ART-00009</v>
      </c>
      <c r="F43" t="str">
        <f>INDEX(Tableau5[N° Article],MATCH(2,Tableau5[Rang]),0)</f>
        <v>ART-00009</v>
      </c>
      <c r="G43" t="str">
        <f>INDEX(Tableau5[N° Article],MATCH(3,Tableau5[Rang]),0)</f>
        <v>ART-00010</v>
      </c>
    </row>
  </sheetData>
  <mergeCells count="6">
    <mergeCell ref="C42:D42"/>
    <mergeCell ref="C43:D43"/>
    <mergeCell ref="C38:D38"/>
    <mergeCell ref="C39:D39"/>
    <mergeCell ref="C40:D40"/>
    <mergeCell ref="C41:D41"/>
  </mergeCells>
  <hyperlinks>
    <hyperlink ref="C34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8:K20"/>
  <sheetViews>
    <sheetView showGridLines="0" workbookViewId="0">
      <selection activeCell="K5" sqref="K5"/>
    </sheetView>
  </sheetViews>
  <sheetFormatPr baseColWidth="10" defaultRowHeight="15" x14ac:dyDescent="0.25"/>
  <cols>
    <col min="2" max="2" width="15.5703125" customWidth="1"/>
    <col min="3" max="3" width="16.85546875" customWidth="1"/>
    <col min="4" max="4" width="11.5703125" customWidth="1"/>
    <col min="5" max="5" width="19.28515625" customWidth="1"/>
    <col min="7" max="7" width="11.42578125" style="14"/>
    <col min="9" max="9" width="13.7109375" customWidth="1"/>
  </cols>
  <sheetData>
    <row r="8" spans="2:11" x14ac:dyDescent="0.25">
      <c r="B8" s="2" t="s">
        <v>28</v>
      </c>
      <c r="C8" s="2" t="s">
        <v>29</v>
      </c>
      <c r="D8" s="2" t="s">
        <v>1</v>
      </c>
      <c r="E8" s="2" t="s">
        <v>2</v>
      </c>
      <c r="F8" s="2" t="s">
        <v>30</v>
      </c>
      <c r="G8" s="10" t="s">
        <v>31</v>
      </c>
      <c r="H8" s="2" t="s">
        <v>32</v>
      </c>
      <c r="I8" s="2" t="s">
        <v>33</v>
      </c>
      <c r="J8" s="2" t="s">
        <v>109</v>
      </c>
      <c r="K8" s="2" t="s">
        <v>110</v>
      </c>
    </row>
    <row r="9" spans="2:11" x14ac:dyDescent="0.25">
      <c r="B9" s="2" t="s">
        <v>146</v>
      </c>
      <c r="C9" s="33">
        <v>43939.884293981479</v>
      </c>
      <c r="D9" s="2" t="s">
        <v>142</v>
      </c>
      <c r="E9" s="2" t="s">
        <v>143</v>
      </c>
      <c r="F9" s="2">
        <v>14</v>
      </c>
      <c r="G9" s="10">
        <v>50</v>
      </c>
      <c r="H9" s="2">
        <f t="shared" ref="H9:H16" si="0">G9*F9</f>
        <v>700</v>
      </c>
      <c r="I9" s="2" t="s">
        <v>42</v>
      </c>
      <c r="J9" s="31">
        <f t="array" ref="J9">IFERROR(INDEX(Tableau5[Nombre],MATCH(1,(Tableau2[[#This Row],[N° commande]]=Tableau5[N° Bon de Commande])*(Tableau2[[#This Row],[N° Article]]=Tableau5[N° Article]),0)),"")</f>
        <v>8</v>
      </c>
      <c r="K9" s="31" t="str">
        <f t="array" ref="K9">IF(Tableau2[[#This Row],[contrôle]]=Tableau2[[#This Row],[Nombre]],"Fermé","Ouvert")</f>
        <v>Ouvert</v>
      </c>
    </row>
    <row r="10" spans="2:11" x14ac:dyDescent="0.25">
      <c r="B10" s="2" t="s">
        <v>146</v>
      </c>
      <c r="C10" s="33">
        <v>43939.884293981479</v>
      </c>
      <c r="D10" s="2" t="s">
        <v>142</v>
      </c>
      <c r="E10" s="2" t="s">
        <v>143</v>
      </c>
      <c r="F10" s="2">
        <v>2</v>
      </c>
      <c r="G10" s="10">
        <v>50</v>
      </c>
      <c r="H10" s="2">
        <f t="shared" si="0"/>
        <v>100</v>
      </c>
      <c r="I10" s="2" t="s">
        <v>42</v>
      </c>
      <c r="J10" s="31">
        <f t="array" ref="J10">IFERROR(INDEX(Tableau5[Nombre],MATCH(1,(Tableau2[[#This Row],[N° commande]]=Tableau5[N° Bon de Commande])*(Tableau2[[#This Row],[N° Article]]=Tableau5[N° Article]),0)),"")</f>
        <v>8</v>
      </c>
      <c r="K10" s="31" t="str">
        <f t="array" ref="K10">IF(Tableau2[[#This Row],[contrôle]]=Tableau2[[#This Row],[Nombre]],"Fermé","Ouvert")</f>
        <v>Ouvert</v>
      </c>
    </row>
    <row r="11" spans="2:11" x14ac:dyDescent="0.25">
      <c r="B11" s="2" t="s">
        <v>146</v>
      </c>
      <c r="C11" s="33">
        <v>43939.884293981479</v>
      </c>
      <c r="D11" s="2" t="s">
        <v>141</v>
      </c>
      <c r="E11" s="2" t="s">
        <v>27</v>
      </c>
      <c r="F11" s="2">
        <v>7</v>
      </c>
      <c r="G11" s="10">
        <v>100</v>
      </c>
      <c r="H11" s="2">
        <f t="shared" si="0"/>
        <v>700</v>
      </c>
      <c r="I11" s="2" t="s">
        <v>42</v>
      </c>
      <c r="J11" s="31">
        <f t="array" ref="J11">IFERROR(INDEX(Tableau5[Nombre],MATCH(1,(Tableau2[[#This Row],[N° commande]]=Tableau5[N° Bon de Commande])*(Tableau2[[#This Row],[N° Article]]=Tableau5[N° Article]),0)),"")</f>
        <v>47</v>
      </c>
      <c r="K11" s="31" t="str">
        <f t="array" ref="K11">IF(Tableau2[[#This Row],[contrôle]]=Tableau2[[#This Row],[Nombre]],"Fermé","Ouvert")</f>
        <v>Ouvert</v>
      </c>
    </row>
    <row r="12" spans="2:11" x14ac:dyDescent="0.25">
      <c r="B12" s="2" t="s">
        <v>146</v>
      </c>
      <c r="C12" s="33">
        <v>43939.884293981479</v>
      </c>
      <c r="D12" s="2" t="s">
        <v>144</v>
      </c>
      <c r="E12" s="2" t="s">
        <v>145</v>
      </c>
      <c r="F12" s="2">
        <v>5</v>
      </c>
      <c r="G12" s="10">
        <v>50</v>
      </c>
      <c r="H12" s="2">
        <f t="shared" si="0"/>
        <v>250</v>
      </c>
      <c r="I12" s="2" t="s">
        <v>42</v>
      </c>
      <c r="J12" s="31">
        <f t="array" ref="J12">IFERROR(INDEX(Tableau5[Nombre],MATCH(1,(Tableau2[[#This Row],[N° commande]]=Tableau5[N° Bon de Commande])*(Tableau2[[#This Row],[N° Article]]=Tableau5[N° Article]),0)),"")</f>
        <v>51</v>
      </c>
      <c r="K12" s="31" t="str">
        <f t="array" ref="K12">IF(Tableau2[[#This Row],[contrôle]]=Tableau2[[#This Row],[Nombre]],"Fermé","Ouvert")</f>
        <v>Ouvert</v>
      </c>
    </row>
    <row r="13" spans="2:11" x14ac:dyDescent="0.25">
      <c r="B13" s="2" t="s">
        <v>150</v>
      </c>
      <c r="C13" s="33">
        <v>43940.023865740739</v>
      </c>
      <c r="D13" s="2" t="s">
        <v>141</v>
      </c>
      <c r="E13" s="2" t="s">
        <v>27</v>
      </c>
      <c r="F13" s="2">
        <v>14</v>
      </c>
      <c r="G13" s="10">
        <v>100</v>
      </c>
      <c r="H13" s="2">
        <f t="shared" si="0"/>
        <v>1400</v>
      </c>
      <c r="I13" s="2" t="s">
        <v>40</v>
      </c>
      <c r="J13" s="31">
        <f t="array" ref="J13">IFERROR(INDEX(Tableau5[Nombre],MATCH(1,(Tableau2[[#This Row],[N° commande]]=Tableau5[N° Bon de Commande])*(Tableau2[[#This Row],[N° Article]]=Tableau5[N° Article]),0)),"")</f>
        <v>12</v>
      </c>
      <c r="K13" s="31" t="str">
        <f t="array" ref="K13">IF(Tableau2[[#This Row],[contrôle]]=Tableau2[[#This Row],[Nombre]],"Fermé","Ouvert")</f>
        <v>Ouvert</v>
      </c>
    </row>
    <row r="14" spans="2:11" x14ac:dyDescent="0.25">
      <c r="B14" s="2" t="s">
        <v>150</v>
      </c>
      <c r="C14" s="33">
        <v>43940.023865740739</v>
      </c>
      <c r="D14" s="2" t="s">
        <v>142</v>
      </c>
      <c r="E14" s="2" t="s">
        <v>143</v>
      </c>
      <c r="F14" s="2">
        <v>15</v>
      </c>
      <c r="G14" s="10">
        <v>50</v>
      </c>
      <c r="H14" s="2">
        <f t="shared" si="0"/>
        <v>750</v>
      </c>
      <c r="I14" s="2" t="s">
        <v>40</v>
      </c>
      <c r="J14" s="31">
        <f t="array" ref="J14">IFERROR(INDEX(Tableau5[Nombre],MATCH(1,(Tableau2[[#This Row],[N° commande]]=Tableau5[N° Bon de Commande])*(Tableau2[[#This Row],[N° Article]]=Tableau5[N° Article]),0)),"")</f>
        <v>7</v>
      </c>
      <c r="K14" s="31" t="str">
        <f t="array" ref="K14">IF(Tableau2[[#This Row],[contrôle]]=Tableau2[[#This Row],[Nombre]],"Fermé","Ouvert")</f>
        <v>Ouvert</v>
      </c>
    </row>
    <row r="15" spans="2:11" x14ac:dyDescent="0.25">
      <c r="B15" s="2" t="s">
        <v>150</v>
      </c>
      <c r="C15" s="33">
        <v>43940.023877314816</v>
      </c>
      <c r="D15" s="2" t="s">
        <v>144</v>
      </c>
      <c r="E15" s="2" t="s">
        <v>145</v>
      </c>
      <c r="F15" s="2">
        <v>23</v>
      </c>
      <c r="G15" s="10">
        <v>50</v>
      </c>
      <c r="H15" s="2">
        <f t="shared" si="0"/>
        <v>1150</v>
      </c>
      <c r="I15" s="2" t="s">
        <v>40</v>
      </c>
      <c r="J15" s="31">
        <f t="array" ref="J15">IFERROR(INDEX(Tableau5[Nombre],MATCH(1,(Tableau2[[#This Row],[N° commande]]=Tableau5[N° Bon de Commande])*(Tableau2[[#This Row],[N° Article]]=Tableau5[N° Article]),0)),"")</f>
        <v>47</v>
      </c>
      <c r="K15" s="31" t="str">
        <f t="array" ref="K15">IF(Tableau2[[#This Row],[contrôle]]=Tableau2[[#This Row],[Nombre]],"Fermé","Ouvert")</f>
        <v>Ouvert</v>
      </c>
    </row>
    <row r="16" spans="2:11" x14ac:dyDescent="0.25">
      <c r="B16" s="2" t="s">
        <v>150</v>
      </c>
      <c r="C16" s="33">
        <v>43940.023877314816</v>
      </c>
      <c r="D16" s="2" t="s">
        <v>147</v>
      </c>
      <c r="E16" s="2" t="s">
        <v>148</v>
      </c>
      <c r="F16" s="2">
        <v>14</v>
      </c>
      <c r="G16" s="10">
        <v>1000</v>
      </c>
      <c r="H16" s="2">
        <f t="shared" si="0"/>
        <v>14000</v>
      </c>
      <c r="I16" s="2" t="s">
        <v>40</v>
      </c>
      <c r="J16" s="31">
        <f t="array" ref="J16">IFERROR(INDEX(Tableau5[Nombre],MATCH(1,(Tableau2[[#This Row],[N° commande]]=Tableau5[N° Bon de Commande])*(Tableau2[[#This Row],[N° Article]]=Tableau5[N° Article]),0)),"")</f>
        <v>23</v>
      </c>
      <c r="K16" s="31" t="str">
        <f t="array" ref="K16">IF(Tableau2[[#This Row],[contrôle]]=Tableau2[[#This Row],[Nombre]],"Fermé","Ouvert")</f>
        <v>Ouvert</v>
      </c>
    </row>
    <row r="17" spans="2:11" x14ac:dyDescent="0.25">
      <c r="B17" s="2" t="s">
        <v>151</v>
      </c>
      <c r="C17" s="33">
        <v>43942.872974537036</v>
      </c>
      <c r="D17" s="2" t="s">
        <v>144</v>
      </c>
      <c r="E17" s="2" t="s">
        <v>145</v>
      </c>
      <c r="F17" s="2">
        <v>4</v>
      </c>
      <c r="G17" s="10">
        <v>50</v>
      </c>
      <c r="H17" s="2">
        <f>G17*F17</f>
        <v>200</v>
      </c>
      <c r="I17" s="2" t="s">
        <v>42</v>
      </c>
      <c r="J17" s="31" t="str">
        <f t="array" ref="J17">IFERROR(INDEX(Tableau5[Nombre],MATCH(1,(Tableau2[[#This Row],[N° commande]]=Tableau5[N° Bon de Commande])*(Tableau2[[#This Row],[N° Article]]=Tableau5[N° Article]),0)),"")</f>
        <v/>
      </c>
      <c r="K17" s="31" t="str">
        <f t="array" ref="K17">IF(Tableau2[[#This Row],[contrôle]]=Tableau2[[#This Row],[Nombre]],"Fermé","Ouvert")</f>
        <v>Ouvert</v>
      </c>
    </row>
    <row r="18" spans="2:11" x14ac:dyDescent="0.25">
      <c r="B18" s="2" t="s">
        <v>151</v>
      </c>
      <c r="C18" s="33">
        <v>43942.872974537036</v>
      </c>
      <c r="D18" s="2" t="s">
        <v>141</v>
      </c>
      <c r="E18" s="2" t="s">
        <v>27</v>
      </c>
      <c r="F18" s="2">
        <v>14</v>
      </c>
      <c r="G18" s="10">
        <v>100</v>
      </c>
      <c r="H18" s="2">
        <f>G18*F18</f>
        <v>1400</v>
      </c>
      <c r="I18" s="2" t="s">
        <v>42</v>
      </c>
      <c r="J18" s="31" t="str">
        <f t="array" ref="J18">IFERROR(INDEX(Tableau5[Nombre],MATCH(1,(Tableau2[[#This Row],[N° commande]]=Tableau5[N° Bon de Commande])*(Tableau2[[#This Row],[N° Article]]=Tableau5[N° Article]),0)),"")</f>
        <v/>
      </c>
      <c r="K18" s="31" t="str">
        <f t="array" ref="K18">IF(Tableau2[[#This Row],[contrôle]]=Tableau2[[#This Row],[Nombre]],"Fermé","Ouvert")</f>
        <v>Ouvert</v>
      </c>
    </row>
    <row r="19" spans="2:11" x14ac:dyDescent="0.25">
      <c r="B19" s="2" t="s">
        <v>151</v>
      </c>
      <c r="C19" s="33">
        <v>43942.872986111113</v>
      </c>
      <c r="D19" s="2" t="s">
        <v>147</v>
      </c>
      <c r="E19" s="2" t="s">
        <v>148</v>
      </c>
      <c r="F19" s="2">
        <v>2</v>
      </c>
      <c r="G19" s="10">
        <v>1000</v>
      </c>
      <c r="H19" s="2">
        <f>G19*F19</f>
        <v>2000</v>
      </c>
      <c r="I19" s="2" t="s">
        <v>42</v>
      </c>
      <c r="J19" s="31" t="str">
        <f t="array" ref="J19">IFERROR(INDEX(Tableau5[Nombre],MATCH(1,(Tableau2[[#This Row],[N° commande]]=Tableau5[N° Bon de Commande])*(Tableau2[[#This Row],[N° Article]]=Tableau5[N° Article]),0)),"")</f>
        <v/>
      </c>
      <c r="K19" s="31" t="str">
        <f t="array" ref="K19">IF(Tableau2[[#This Row],[contrôle]]=Tableau2[[#This Row],[Nombre]],"Fermé","Ouvert")</f>
        <v>Ouvert</v>
      </c>
    </row>
    <row r="20" spans="2:11" x14ac:dyDescent="0.25">
      <c r="B20" s="2" t="s">
        <v>156</v>
      </c>
      <c r="C20" s="33">
        <v>43942.87604166667</v>
      </c>
      <c r="D20" s="2" t="s">
        <v>153</v>
      </c>
      <c r="E20" s="2" t="s">
        <v>154</v>
      </c>
      <c r="F20" s="2">
        <v>4</v>
      </c>
      <c r="G20" s="10">
        <v>2500</v>
      </c>
      <c r="H20" s="2">
        <f>G20*F20</f>
        <v>10000</v>
      </c>
      <c r="I20" s="2" t="s">
        <v>37</v>
      </c>
      <c r="J20" s="31">
        <f t="array" ref="J20">IFERROR(INDEX(Tableau5[Nombre],MATCH(1,(Tableau2[[#This Row],[N° commande]]=Tableau5[N° Bon de Commande])*(Tableau2[[#This Row],[N° Article]]=Tableau5[N° Article]),0)),"")</f>
        <v>12</v>
      </c>
      <c r="K20" s="31" t="str">
        <f t="array" ref="K20">IF(Tableau2[[#This Row],[contrôle]]=Tableau2[[#This Row],[Nombre]],"Fermé","Ouvert")</f>
        <v>Ouvert</v>
      </c>
    </row>
  </sheetData>
  <conditionalFormatting sqref="B9:K20">
    <cfRule type="expression" dxfId="6" priority="1">
      <formula>$K9="Fermé"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1</xdr:col>
                <xdr:colOff>19050</xdr:colOff>
                <xdr:row>4</xdr:row>
                <xdr:rowOff>180975</xdr:rowOff>
              </from>
              <to>
                <xdr:col>1</xdr:col>
                <xdr:colOff>923925</xdr:colOff>
                <xdr:row>6</xdr:row>
                <xdr:rowOff>180975</xdr:rowOff>
              </to>
            </anchor>
          </controlPr>
        </control>
      </mc:Choice>
      <mc:Fallback>
        <control shapeId="3074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B1:G43"/>
  <sheetViews>
    <sheetView showGridLines="0" topLeftCell="A6" workbookViewId="0">
      <selection activeCell="G41" sqref="G41"/>
    </sheetView>
  </sheetViews>
  <sheetFormatPr baseColWidth="10" defaultRowHeight="15" x14ac:dyDescent="0.25"/>
  <cols>
    <col min="4" max="4" width="24.140625" customWidth="1"/>
    <col min="6" max="6" width="12.85546875" customWidth="1"/>
    <col min="7" max="7" width="15.7109375" customWidth="1"/>
  </cols>
  <sheetData>
    <row r="1" spans="2:7" ht="81.75" customHeight="1" x14ac:dyDescent="0.25"/>
    <row r="2" spans="2:7" x14ac:dyDescent="0.25">
      <c r="B2" s="15"/>
    </row>
    <row r="7" spans="2:7" ht="33.75" x14ac:dyDescent="0.5">
      <c r="B7" s="17" t="str">
        <f>configuration!C31</f>
        <v>BOUTIQUE</v>
      </c>
      <c r="C7" s="18"/>
      <c r="E7" s="16" t="s">
        <v>82</v>
      </c>
    </row>
    <row r="9" spans="2:7" x14ac:dyDescent="0.25">
      <c r="B9" s="5" t="s">
        <v>83</v>
      </c>
      <c r="C9" s="5" t="s">
        <v>156</v>
      </c>
      <c r="F9" s="15" t="s">
        <v>84</v>
      </c>
      <c r="G9" s="32">
        <f ca="1">TODAY()</f>
        <v>43942</v>
      </c>
    </row>
    <row r="12" spans="2:7" x14ac:dyDescent="0.25">
      <c r="B12" s="20" t="s">
        <v>92</v>
      </c>
      <c r="C12" s="20"/>
    </row>
    <row r="13" spans="2:7" x14ac:dyDescent="0.25">
      <c r="B13" t="str">
        <f>configuration!C31</f>
        <v>BOUTIQUE</v>
      </c>
      <c r="F13" s="20" t="s">
        <v>85</v>
      </c>
      <c r="G13" s="20" t="s">
        <v>108</v>
      </c>
    </row>
    <row r="14" spans="2:7" x14ac:dyDescent="0.25">
      <c r="B14" s="27">
        <f>configuration!C33</f>
        <v>695197322</v>
      </c>
      <c r="E14" t="s">
        <v>86</v>
      </c>
      <c r="F14" t="str">
        <f>IFERROR(INDEX(Tableau2[Fournisseur],MATCH(bon_de_commande!C9,Tableau2[N° commande],0)),"")</f>
        <v>four1</v>
      </c>
    </row>
    <row r="15" spans="2:7" x14ac:dyDescent="0.25">
      <c r="B15" t="str">
        <f>configuration!C34</f>
        <v>bocchianaba@gmail.com</v>
      </c>
      <c r="F15" s="27">
        <f t="array" ref="F15">IFERROR(INDEX(Tableau3[Téléphone],MATCH(bon_de_commande!$F$14,Tableau3[Nom],0)),"")</f>
        <v>695197322</v>
      </c>
    </row>
    <row r="16" spans="2:7" x14ac:dyDescent="0.25">
      <c r="B16" t="str">
        <f>configuration!C32</f>
        <v>Nkoabang</v>
      </c>
      <c r="F16" t="str">
        <f t="array" ref="F16">IFERROR(INDEX(Tableau3[Mail],MATCH(bon_de_commande!$F$14,Tableau3[Nom],0)),"")</f>
        <v>bocchianaba@gmail.com</v>
      </c>
    </row>
    <row r="18" spans="2:7" x14ac:dyDescent="0.25">
      <c r="B18" s="29" t="s">
        <v>87</v>
      </c>
      <c r="C18" s="21" t="s">
        <v>1</v>
      </c>
      <c r="D18" s="21" t="s">
        <v>2</v>
      </c>
      <c r="E18" s="21" t="s">
        <v>30</v>
      </c>
      <c r="F18" s="21" t="s">
        <v>4</v>
      </c>
      <c r="G18" s="21" t="s">
        <v>88</v>
      </c>
    </row>
    <row r="19" spans="2:7" x14ac:dyDescent="0.25">
      <c r="B19" s="29">
        <f>IF(C19&lt;&gt;"",ROW()-18,"")</f>
        <v>1</v>
      </c>
      <c r="C19" s="23" t="str">
        <f t="array" ref="C19">IFERROR(INDEX(Tableau2[N° Article],SMALL(IF(Tableau2[N° commande]=bon_de_commande!$C$9,ROW(Tableau2[N° Article])-8),ROW()-18)),"")</f>
        <v>ART-00011</v>
      </c>
      <c r="D19" s="23" t="str">
        <f t="array" ref="D19">IFERROR(INDEX(Tableau2[Nom],SMALL(IF(Tableau2[N° commande]=bon_de_commande!$C$9,ROW(Tableau2[N° Article])-8),ROW()-18)),"")</f>
        <v>montre</v>
      </c>
      <c r="E19" s="23">
        <f t="array" ref="E19">IFERROR(INDEX(Tableau2[Nombre],SMALL(IF(Tableau2[N° commande]=bon_de_commande!$C$9,ROW(Tableau2[N° Article])-8),ROW()-18)),"")</f>
        <v>4</v>
      </c>
      <c r="F19" s="23">
        <f t="array" ref="F19">IFERROR(INDEX(Tableau2[Prix],SMALL(IF(Tableau2[N° commande]=bon_de_commande!$C$9,ROW(Tableau2[N° Article])-8),ROW()-18)),"")</f>
        <v>2500</v>
      </c>
      <c r="G19" s="22">
        <f t="array" ref="G19">IFERROR(IF(E19*F19&lt;&gt;0,E19*F19,""),"")</f>
        <v>10000</v>
      </c>
    </row>
    <row r="20" spans="2:7" x14ac:dyDescent="0.25">
      <c r="B20" s="29" t="str">
        <f t="shared" ref="B20:B38" si="0">IF(C20&lt;&gt;"",ROW()-18,"")</f>
        <v/>
      </c>
      <c r="C20" s="23" t="str">
        <f t="array" ref="C20">IFERROR(INDEX(Tableau2[N° Article],SMALL(IF(Tableau2[N° commande]=bon_de_commande!$C$9,ROW(Tableau2[N° Article])-8),ROW()-18)),"")</f>
        <v/>
      </c>
      <c r="D20" s="23" t="str">
        <f t="array" ref="D20">IFERROR(INDEX(Tableau2[Nom],SMALL(IF(Tableau2[N° commande]=bon_de_commande!$C$9,ROW(Tableau2[N° Article])-8),ROW()-18)),"")</f>
        <v/>
      </c>
      <c r="E20" s="23" t="str">
        <f t="array" ref="E20">IFERROR(INDEX(Tableau2[Nombre],SMALL(IF(Tableau2[N° commande]=bon_de_commande!$C$9,ROW(Tableau2[N° Article])-8),ROW()-18)),"")</f>
        <v/>
      </c>
      <c r="F20" s="23" t="str">
        <f t="array" ref="F20">IFERROR(INDEX(Tableau2[Prix],SMALL(IF(Tableau2[N° commande]=bon_de_commande!$C$9,ROW(Tableau2[N° Article])-8),ROW()-18)),"")</f>
        <v/>
      </c>
      <c r="G20" s="22" t="str">
        <f t="array" ref="G20">IFERROR(IF(E20*F20&lt;&gt;0,E20*F20,""),"")</f>
        <v/>
      </c>
    </row>
    <row r="21" spans="2:7" x14ac:dyDescent="0.25">
      <c r="B21" s="29" t="str">
        <f t="shared" si="0"/>
        <v/>
      </c>
      <c r="C21" s="23" t="str">
        <f t="array" ref="C21">IFERROR(INDEX(Tableau2[N° Article],SMALL(IF(Tableau2[N° commande]=bon_de_commande!$C$9,ROW(Tableau2[N° Article])-8),ROW()-18)),"")</f>
        <v/>
      </c>
      <c r="D21" s="23" t="str">
        <f t="array" ref="D21">IFERROR(INDEX(Tableau2[Nom],SMALL(IF(Tableau2[N° commande]=bon_de_commande!$C$9,ROW(Tableau2[N° Article])-8),ROW()-18)),"")</f>
        <v/>
      </c>
      <c r="E21" s="23" t="str">
        <f t="array" ref="E21">IFERROR(INDEX(Tableau2[Nombre],SMALL(IF(Tableau2[N° commande]=bon_de_commande!$C$9,ROW(Tableau2[N° Article])-8),ROW()-18)),"")</f>
        <v/>
      </c>
      <c r="F21" s="23" t="str">
        <f t="array" ref="F21">IFERROR(INDEX(Tableau2[Prix],SMALL(IF(Tableau2[N° commande]=bon_de_commande!$C$9,ROW(Tableau2[N° Article])-8),ROW()-18)),"")</f>
        <v/>
      </c>
      <c r="G21" s="22" t="str">
        <f t="array" ref="G21">IFERROR(IF(E21*F21&lt;&gt;0,E21*F21,""),"")</f>
        <v/>
      </c>
    </row>
    <row r="22" spans="2:7" x14ac:dyDescent="0.25">
      <c r="B22" s="29" t="str">
        <f t="shared" si="0"/>
        <v/>
      </c>
      <c r="C22" s="23" t="str">
        <f t="array" ref="C22">IFERROR(INDEX(Tableau2[N° Article],SMALL(IF(Tableau2[N° commande]=bon_de_commande!$C$9,ROW(Tableau2[N° Article])-8),ROW()-18)),"")</f>
        <v/>
      </c>
      <c r="D22" s="23" t="str">
        <f t="array" ref="D22">IFERROR(INDEX(Tableau2[Nom],SMALL(IF(Tableau2[N° commande]=bon_de_commande!$C$9,ROW(Tableau2[N° Article])-8),ROW()-18)),"")</f>
        <v/>
      </c>
      <c r="E22" s="23" t="str">
        <f t="array" ref="E22">IFERROR(INDEX(Tableau2[Nombre],SMALL(IF(Tableau2[N° commande]=bon_de_commande!$C$9,ROW(Tableau2[N° Article])-8),ROW()-18)),"")</f>
        <v/>
      </c>
      <c r="F22" s="23" t="str">
        <f t="array" ref="F22">IFERROR(INDEX(Tableau2[Prix],SMALL(IF(Tableau2[N° commande]=bon_de_commande!$C$9,ROW(Tableau2[N° Article])-8),ROW()-18)),"")</f>
        <v/>
      </c>
      <c r="G22" s="22" t="str">
        <f t="array" ref="G22">IFERROR(IF(E22*F22&lt;&gt;0,E22*F22,""),"")</f>
        <v/>
      </c>
    </row>
    <row r="23" spans="2:7" x14ac:dyDescent="0.25">
      <c r="B23" s="29" t="str">
        <f t="shared" si="0"/>
        <v/>
      </c>
      <c r="C23" s="23" t="str">
        <f t="array" ref="C23">IFERROR(INDEX(Tableau2[N° Article],SMALL(IF(Tableau2[N° commande]=bon_de_commande!$C$9,ROW(Tableau2[N° Article])-8),ROW()-18)),"")</f>
        <v/>
      </c>
      <c r="D23" s="23" t="str">
        <f t="array" ref="D23">IFERROR(INDEX(Tableau2[Nom],SMALL(IF(Tableau2[N° commande]=bon_de_commande!$C$9,ROW(Tableau2[N° Article])-8),ROW()-18)),"")</f>
        <v/>
      </c>
      <c r="E23" s="23" t="str">
        <f t="array" ref="E23">IFERROR(INDEX(Tableau2[Nombre],SMALL(IF(Tableau2[N° commande]=bon_de_commande!$C$9,ROW(Tableau2[N° Article])-8),ROW()-18)),"")</f>
        <v/>
      </c>
      <c r="F23" s="23" t="str">
        <f t="array" ref="F23">IFERROR(INDEX(Tableau2[Prix],SMALL(IF(Tableau2[N° commande]=bon_de_commande!$C$9,ROW(Tableau2[N° Article])-8),ROW()-18)),"")</f>
        <v/>
      </c>
      <c r="G23" s="22" t="str">
        <f t="array" ref="G23">IFERROR(IF(E23*F23&lt;&gt;0,E23*F23,""),"")</f>
        <v/>
      </c>
    </row>
    <row r="24" spans="2:7" x14ac:dyDescent="0.25">
      <c r="B24" s="29" t="str">
        <f t="shared" si="0"/>
        <v/>
      </c>
      <c r="C24" s="23" t="str">
        <f t="array" ref="C24">IFERROR(INDEX(Tableau2[N° Article],SMALL(IF(Tableau2[N° commande]=bon_de_commande!$C$9,ROW(Tableau2[N° Article])-8),ROW()-18)),"")</f>
        <v/>
      </c>
      <c r="D24" s="23" t="str">
        <f t="array" ref="D24">IFERROR(INDEX(Tableau2[Nom],SMALL(IF(Tableau2[N° commande]=bon_de_commande!$C$9,ROW(Tableau2[N° Article])-8),ROW()-18)),"")</f>
        <v/>
      </c>
      <c r="E24" s="23" t="str">
        <f t="array" ref="E24">IFERROR(INDEX(Tableau2[Nombre],SMALL(IF(Tableau2[N° commande]=bon_de_commande!$C$9,ROW(Tableau2[N° Article])-8),ROW()-18)),"")</f>
        <v/>
      </c>
      <c r="F24" s="23" t="str">
        <f t="array" ref="F24">IFERROR(INDEX(Tableau2[Prix],SMALL(IF(Tableau2[N° commande]=bon_de_commande!$C$9,ROW(Tableau2[N° Article])-8),ROW()-18)),"")</f>
        <v/>
      </c>
      <c r="G24" s="22" t="str">
        <f t="array" ref="G24">IFERROR(IF(E24*F24&lt;&gt;0,E24*F24,""),"")</f>
        <v/>
      </c>
    </row>
    <row r="25" spans="2:7" x14ac:dyDescent="0.25">
      <c r="B25" s="29" t="str">
        <f t="shared" si="0"/>
        <v/>
      </c>
      <c r="C25" s="23" t="str">
        <f t="array" ref="C25">IFERROR(INDEX(Tableau2[N° Article],SMALL(IF(Tableau2[N° commande]=bon_de_commande!$C$9,ROW(Tableau2[N° Article])-8),ROW()-18)),"")</f>
        <v/>
      </c>
      <c r="D25" s="23" t="str">
        <f t="array" ref="D25">IFERROR(INDEX(Tableau2[Nom],SMALL(IF(Tableau2[N° commande]=bon_de_commande!$C$9,ROW(Tableau2[N° Article])-8),ROW()-18)),"")</f>
        <v/>
      </c>
      <c r="E25" s="23" t="str">
        <f t="array" ref="E25">IFERROR(INDEX(Tableau2[Nombre],SMALL(IF(Tableau2[N° commande]=bon_de_commande!$C$9,ROW(Tableau2[N° Article])-8),ROW()-18)),"")</f>
        <v/>
      </c>
      <c r="F25" s="23" t="str">
        <f t="array" ref="F25">IFERROR(INDEX(Tableau2[Prix],SMALL(IF(Tableau2[N° commande]=bon_de_commande!$C$9,ROW(Tableau2[N° Article])-8),ROW()-18)),"")</f>
        <v/>
      </c>
      <c r="G25" s="22" t="str">
        <f t="array" ref="G25">IFERROR(IF(E25*F25&lt;&gt;0,E25*F25,""),"")</f>
        <v/>
      </c>
    </row>
    <row r="26" spans="2:7" x14ac:dyDescent="0.25">
      <c r="B26" s="29" t="str">
        <f t="shared" si="0"/>
        <v/>
      </c>
      <c r="C26" s="23" t="str">
        <f t="array" ref="C26">IFERROR(INDEX(Tableau2[N° Article],SMALL(IF(Tableau2[N° commande]=bon_de_commande!$C$9,ROW(Tableau2[N° Article])-8),ROW()-18)),"")</f>
        <v/>
      </c>
      <c r="D26" s="23" t="str">
        <f t="array" ref="D26">IFERROR(INDEX(Tableau2[Nom],SMALL(IF(Tableau2[N° commande]=bon_de_commande!$C$9,ROW(Tableau2[N° Article])-8),ROW()-18)),"")</f>
        <v/>
      </c>
      <c r="E26" s="23" t="str">
        <f t="array" ref="E26">IFERROR(INDEX(Tableau2[Nombre],SMALL(IF(Tableau2[N° commande]=bon_de_commande!$C$9,ROW(Tableau2[N° Article])-8),ROW()-18)),"")</f>
        <v/>
      </c>
      <c r="F26" s="23" t="str">
        <f t="array" ref="F26">IFERROR(INDEX(Tableau2[Prix],SMALL(IF(Tableau2[N° commande]=bon_de_commande!$C$9,ROW(Tableau2[N° Article])-8),ROW()-18)),"")</f>
        <v/>
      </c>
      <c r="G26" s="22" t="str">
        <f t="array" ref="G26">IFERROR(IF(E26*F26&lt;&gt;0,E26*F26,""),"")</f>
        <v/>
      </c>
    </row>
    <row r="27" spans="2:7" x14ac:dyDescent="0.25">
      <c r="B27" s="29" t="str">
        <f t="shared" si="0"/>
        <v/>
      </c>
      <c r="C27" s="23" t="str">
        <f t="array" ref="C27">IFERROR(INDEX(Tableau2[N° Article],SMALL(IF(Tableau2[N° commande]=bon_de_commande!$C$9,ROW(Tableau2[N° Article])-8),ROW()-18)),"")</f>
        <v/>
      </c>
      <c r="D27" s="23" t="str">
        <f t="array" ref="D27">IFERROR(INDEX(Tableau2[Nom],SMALL(IF(Tableau2[N° commande]=bon_de_commande!$C$9,ROW(Tableau2[N° Article])-8),ROW()-18)),"")</f>
        <v/>
      </c>
      <c r="E27" s="23" t="str">
        <f t="array" ref="E27">IFERROR(INDEX(Tableau2[Nombre],SMALL(IF(Tableau2[N° commande]=bon_de_commande!$C$9,ROW(Tableau2[N° Article])-8),ROW()-18)),"")</f>
        <v/>
      </c>
      <c r="F27" s="23" t="str">
        <f t="array" ref="F27">IFERROR(INDEX(Tableau2[Prix],SMALL(IF(Tableau2[N° commande]=bon_de_commande!$C$9,ROW(Tableau2[N° Article])-8),ROW()-18)),"")</f>
        <v/>
      </c>
      <c r="G27" s="22" t="str">
        <f t="array" ref="G27">IFERROR(IF(E27*F27&lt;&gt;0,E27*F27,""),"")</f>
        <v/>
      </c>
    </row>
    <row r="28" spans="2:7" x14ac:dyDescent="0.25">
      <c r="B28" s="29" t="str">
        <f t="shared" si="0"/>
        <v/>
      </c>
      <c r="C28" s="23" t="str">
        <f t="array" ref="C28">IFERROR(INDEX(Tableau2[N° Article],SMALL(IF(Tableau2[N° commande]=bon_de_commande!$C$9,ROW(Tableau2[N° Article])-8),ROW()-18)),"")</f>
        <v/>
      </c>
      <c r="D28" s="23" t="str">
        <f t="array" ref="D28">IFERROR(INDEX(Tableau2[Nom],SMALL(IF(Tableau2[N° commande]=bon_de_commande!$C$9,ROW(Tableau2[N° Article])-8),ROW()-18)),"")</f>
        <v/>
      </c>
      <c r="E28" s="23" t="str">
        <f t="array" ref="E28">IFERROR(INDEX(Tableau2[Nombre],SMALL(IF(Tableau2[N° commande]=bon_de_commande!$C$9,ROW(Tableau2[N° Article])-8),ROW()-18)),"")</f>
        <v/>
      </c>
      <c r="F28" s="23" t="str">
        <f t="array" ref="F28">IFERROR(INDEX(Tableau2[Prix],SMALL(IF(Tableau2[N° commande]=bon_de_commande!$C$9,ROW(Tableau2[N° Article])-8),ROW()-18)),"")</f>
        <v/>
      </c>
      <c r="G28" s="22" t="str">
        <f t="array" ref="G28">IFERROR(IF(E28*F28&lt;&gt;0,E28*F28,""),"")</f>
        <v/>
      </c>
    </row>
    <row r="29" spans="2:7" x14ac:dyDescent="0.25">
      <c r="B29" s="29" t="str">
        <f t="shared" si="0"/>
        <v/>
      </c>
      <c r="C29" s="23" t="str">
        <f t="array" ref="C29">IFERROR(INDEX(Tableau2[N° Article],SMALL(IF(Tableau2[N° commande]=bon_de_commande!$C$9,ROW(Tableau2[N° Article])-8),ROW()-18)),"")</f>
        <v/>
      </c>
      <c r="D29" s="23" t="str">
        <f t="array" ref="D29">IFERROR(INDEX(Tableau2[Nom],SMALL(IF(Tableau2[N° commande]=bon_de_commande!$C$9,ROW(Tableau2[N° Article])-8),ROW()-18)),"")</f>
        <v/>
      </c>
      <c r="E29" s="23" t="str">
        <f t="array" ref="E29">IFERROR(INDEX(Tableau2[Nombre],SMALL(IF(Tableau2[N° commande]=bon_de_commande!$C$9,ROW(Tableau2[N° Article])-8),ROW()-18)),"")</f>
        <v/>
      </c>
      <c r="F29" s="23" t="str">
        <f t="array" ref="F29">IFERROR(INDEX(Tableau2[Prix],SMALL(IF(Tableau2[N° commande]=bon_de_commande!$C$9,ROW(Tableau2[N° Article])-8),ROW()-18)),"")</f>
        <v/>
      </c>
      <c r="G29" s="22" t="str">
        <f t="array" ref="G29">IFERROR(IF(E29*F29&lt;&gt;0,E29*F29,""),"")</f>
        <v/>
      </c>
    </row>
    <row r="30" spans="2:7" x14ac:dyDescent="0.25">
      <c r="B30" s="29" t="str">
        <f t="shared" si="0"/>
        <v/>
      </c>
      <c r="C30" s="23" t="str">
        <f t="array" ref="C30">IFERROR(INDEX(Tableau2[N° Article],SMALL(IF(Tableau2[N° commande]=bon_de_commande!$C$9,ROW(Tableau2[N° Article])-8),ROW()-18)),"")</f>
        <v/>
      </c>
      <c r="D30" s="23" t="str">
        <f t="array" ref="D30">IFERROR(INDEX(Tableau2[Nom],SMALL(IF(Tableau2[N° commande]=bon_de_commande!$C$9,ROW(Tableau2[N° Article])-8),ROW()-18)),"")</f>
        <v/>
      </c>
      <c r="E30" s="23" t="str">
        <f t="array" ref="E30">IFERROR(INDEX(Tableau2[Nombre],SMALL(IF(Tableau2[N° commande]=bon_de_commande!$C$9,ROW(Tableau2[N° Article])-8),ROW()-18)),"")</f>
        <v/>
      </c>
      <c r="F30" s="23" t="str">
        <f t="array" ref="F30">IFERROR(INDEX(Tableau2[Prix],SMALL(IF(Tableau2[N° commande]=bon_de_commande!$C$9,ROW(Tableau2[N° Article])-8),ROW()-18)),"")</f>
        <v/>
      </c>
      <c r="G30" s="22" t="str">
        <f t="array" ref="G30">IFERROR(IF(E30*F30&lt;&gt;0,E30*F30,""),"")</f>
        <v/>
      </c>
    </row>
    <row r="31" spans="2:7" x14ac:dyDescent="0.25">
      <c r="B31" s="29" t="str">
        <f t="shared" si="0"/>
        <v/>
      </c>
      <c r="C31" s="23" t="str">
        <f t="array" ref="C31">IFERROR(INDEX(Tableau2[N° Article],SMALL(IF(Tableau2[N° commande]=bon_de_commande!$C$9,ROW(Tableau2[N° Article])-8),ROW()-18)),"")</f>
        <v/>
      </c>
      <c r="D31" s="23" t="str">
        <f t="array" ref="D31">IFERROR(INDEX(Tableau2[Nom],SMALL(IF(Tableau2[N° commande]=bon_de_commande!$C$9,ROW(Tableau2[N° Article])-8),ROW()-18)),"")</f>
        <v/>
      </c>
      <c r="E31" s="23" t="str">
        <f t="array" ref="E31">IFERROR(INDEX(Tableau2[Nombre],SMALL(IF(Tableau2[N° commande]=bon_de_commande!$C$9,ROW(Tableau2[N° Article])-8),ROW()-18)),"")</f>
        <v/>
      </c>
      <c r="F31" s="23" t="str">
        <f t="array" ref="F31">IFERROR(INDEX(Tableau2[Prix],SMALL(IF(Tableau2[N° commande]=bon_de_commande!$C$9,ROW(Tableau2[N° Article])-8),ROW()-18)),"")</f>
        <v/>
      </c>
      <c r="G31" s="22" t="str">
        <f t="array" ref="G31">IFERROR(IF(E31*F31&lt;&gt;0,E31*F31,""),"")</f>
        <v/>
      </c>
    </row>
    <row r="32" spans="2:7" x14ac:dyDescent="0.25">
      <c r="B32" s="29" t="str">
        <f t="shared" si="0"/>
        <v/>
      </c>
      <c r="C32" s="23" t="str">
        <f t="array" ref="C32">IFERROR(INDEX(Tableau2[N° Article],SMALL(IF(Tableau2[N° commande]=bon_de_commande!$C$9,ROW(Tableau2[N° Article])-8),ROW()-18)),"")</f>
        <v/>
      </c>
      <c r="D32" s="23" t="str">
        <f t="array" ref="D32">IFERROR(INDEX(Tableau2[Nom],SMALL(IF(Tableau2[N° commande]=bon_de_commande!$C$9,ROW(Tableau2[N° Article])-8),ROW()-18)),"")</f>
        <v/>
      </c>
      <c r="E32" s="23" t="str">
        <f t="array" ref="E32">IFERROR(INDEX(Tableau2[Nombre],SMALL(IF(Tableau2[N° commande]=bon_de_commande!$C$9,ROW(Tableau2[N° Article])-8),ROW()-18)),"")</f>
        <v/>
      </c>
      <c r="F32" s="23" t="str">
        <f t="array" ref="F32">IFERROR(INDEX(Tableau2[Prix],SMALL(IF(Tableau2[N° commande]=bon_de_commande!$C$9,ROW(Tableau2[N° Article])-8),ROW()-18)),"")</f>
        <v/>
      </c>
      <c r="G32" s="22" t="str">
        <f t="array" ref="G32">IFERROR(IF(E32*F32&lt;&gt;0,E32*F32,""),"")</f>
        <v/>
      </c>
    </row>
    <row r="33" spans="2:7" x14ac:dyDescent="0.25">
      <c r="B33" s="29" t="str">
        <f t="shared" si="0"/>
        <v/>
      </c>
      <c r="C33" s="23" t="str">
        <f t="array" ref="C33">IFERROR(INDEX(Tableau2[N° Article],SMALL(IF(Tableau2[N° commande]=bon_de_commande!$C$9,ROW(Tableau2[N° Article])-8),ROW()-18)),"")</f>
        <v/>
      </c>
      <c r="D33" s="23" t="str">
        <f t="array" ref="D33">IFERROR(INDEX(Tableau2[Nom],SMALL(IF(Tableau2[N° commande]=bon_de_commande!$C$9,ROW(Tableau2[N° Article])-8),ROW()-18)),"")</f>
        <v/>
      </c>
      <c r="E33" s="23" t="str">
        <f t="array" ref="E33">IFERROR(INDEX(Tableau2[Nombre],SMALL(IF(Tableau2[N° commande]=bon_de_commande!$C$9,ROW(Tableau2[N° Article])-8),ROW()-18)),"")</f>
        <v/>
      </c>
      <c r="F33" s="23" t="str">
        <f t="array" ref="F33">IFERROR(INDEX(Tableau2[Prix],SMALL(IF(Tableau2[N° commande]=bon_de_commande!$C$9,ROW(Tableau2[N° Article])-8),ROW()-18)),"")</f>
        <v/>
      </c>
      <c r="G33" s="22" t="str">
        <f t="array" ref="G33">IFERROR(IF(E33*F33&lt;&gt;0,E33*F33,""),"")</f>
        <v/>
      </c>
    </row>
    <row r="34" spans="2:7" x14ac:dyDescent="0.25">
      <c r="B34" s="29" t="str">
        <f t="shared" si="0"/>
        <v/>
      </c>
      <c r="C34" s="23" t="str">
        <f t="array" ref="C34">IFERROR(INDEX(Tableau2[N° Article],SMALL(IF(Tableau2[N° commande]=bon_de_commande!$C$9,ROW(Tableau2[N° Article])-8),ROW()-18)),"")</f>
        <v/>
      </c>
      <c r="D34" s="23" t="str">
        <f t="array" ref="D34">IFERROR(INDEX(Tableau2[Nom],SMALL(IF(Tableau2[N° commande]=bon_de_commande!$C$9,ROW(Tableau2[N° Article])-8),ROW()-18)),"")</f>
        <v/>
      </c>
      <c r="E34" s="23" t="str">
        <f t="array" ref="E34">IFERROR(INDEX(Tableau2[Nombre],SMALL(IF(Tableau2[N° commande]=bon_de_commande!$C$9,ROW(Tableau2[N° Article])-8),ROW()-18)),"")</f>
        <v/>
      </c>
      <c r="F34" s="23" t="str">
        <f t="array" ref="F34">IFERROR(INDEX(Tableau2[Prix],SMALL(IF(Tableau2[N° commande]=bon_de_commande!$C$9,ROW(Tableau2[N° Article])-8),ROW()-18)),"")</f>
        <v/>
      </c>
      <c r="G34" s="22" t="str">
        <f t="array" ref="G34">IFERROR(IF(E34*F34&lt;&gt;0,E34*F34,""),"")</f>
        <v/>
      </c>
    </row>
    <row r="35" spans="2:7" x14ac:dyDescent="0.25">
      <c r="B35" s="29" t="str">
        <f t="shared" si="0"/>
        <v/>
      </c>
      <c r="C35" s="23" t="str">
        <f t="array" ref="C35">IFERROR(INDEX(Tableau2[N° Article],SMALL(IF(Tableau2[N° commande]=bon_de_commande!$C$9,ROW(Tableau2[N° Article])-8),ROW()-18)),"")</f>
        <v/>
      </c>
      <c r="D35" s="23" t="str">
        <f t="array" ref="D35">IFERROR(INDEX(Tableau2[Nom],SMALL(IF(Tableau2[N° commande]=bon_de_commande!$C$9,ROW(Tableau2[N° Article])-8),ROW()-18)),"")</f>
        <v/>
      </c>
      <c r="E35" s="23" t="str">
        <f t="array" ref="E35">IFERROR(INDEX(Tableau2[Nombre],SMALL(IF(Tableau2[N° commande]=bon_de_commande!$C$9,ROW(Tableau2[N° Article])-8),ROW()-18)),"")</f>
        <v/>
      </c>
      <c r="F35" s="23" t="str">
        <f t="array" ref="F35">IFERROR(INDEX(Tableau2[Prix],SMALL(IF(Tableau2[N° commande]=bon_de_commande!$C$9,ROW(Tableau2[N° Article])-8),ROW()-18)),"")</f>
        <v/>
      </c>
      <c r="G35" s="22" t="str">
        <f t="array" ref="G35">IFERROR(IF(E35*F35&lt;&gt;0,E35*F35,""),"")</f>
        <v/>
      </c>
    </row>
    <row r="36" spans="2:7" x14ac:dyDescent="0.25">
      <c r="B36" s="29" t="str">
        <f t="shared" si="0"/>
        <v/>
      </c>
      <c r="C36" s="23" t="str">
        <f t="array" ref="C36">IFERROR(INDEX(Tableau2[N° Article],SMALL(IF(Tableau2[N° commande]=bon_de_commande!$C$9,ROW(Tableau2[N° Article])-8),ROW()-18)),"")</f>
        <v/>
      </c>
      <c r="D36" s="23" t="str">
        <f t="array" ref="D36">IFERROR(INDEX(Tableau2[Nom],SMALL(IF(Tableau2[N° commande]=bon_de_commande!$C$9,ROW(Tableau2[N° Article])-8),ROW()-18)),"")</f>
        <v/>
      </c>
      <c r="E36" s="23" t="str">
        <f t="array" ref="E36">IFERROR(INDEX(Tableau2[Nombre],SMALL(IF(Tableau2[N° commande]=bon_de_commande!$C$9,ROW(Tableau2[N° Article])-8),ROW()-18)),"")</f>
        <v/>
      </c>
      <c r="F36" s="23" t="str">
        <f t="array" ref="F36">IFERROR(INDEX(Tableau2[Prix],SMALL(IF(Tableau2[N° commande]=bon_de_commande!$C$9,ROW(Tableau2[N° Article])-8),ROW()-18)),"")</f>
        <v/>
      </c>
      <c r="G36" s="22" t="str">
        <f t="array" ref="G36">IFERROR(IF(E36*F36&lt;&gt;0,E36*F36,""),"")</f>
        <v/>
      </c>
    </row>
    <row r="37" spans="2:7" x14ac:dyDescent="0.25">
      <c r="B37" s="29" t="str">
        <f t="shared" si="0"/>
        <v/>
      </c>
      <c r="C37" s="23" t="str">
        <f t="array" ref="C37">IFERROR(INDEX(Tableau2[N° Article],SMALL(IF(Tableau2[N° commande]=bon_de_commande!$C$9,ROW(Tableau2[N° Article])-8),ROW()-18)),"")</f>
        <v/>
      </c>
      <c r="D37" s="23" t="str">
        <f t="array" ref="D37">IFERROR(INDEX(Tableau2[Nom],SMALL(IF(Tableau2[N° commande]=bon_de_commande!$C$9,ROW(Tableau2[N° Article])-8),ROW()-18)),"")</f>
        <v/>
      </c>
      <c r="E37" s="23" t="str">
        <f t="array" ref="E37">IFERROR(INDEX(Tableau2[Nombre],SMALL(IF(Tableau2[N° commande]=bon_de_commande!$C$9,ROW(Tableau2[N° Article])-8),ROW()-18)),"")</f>
        <v/>
      </c>
      <c r="F37" s="23" t="str">
        <f t="array" ref="F37">IFERROR(INDEX(Tableau2[Prix],SMALL(IF(Tableau2[N° commande]=bon_de_commande!$C$9,ROW(Tableau2[N° Article])-8),ROW()-18)),"")</f>
        <v/>
      </c>
      <c r="G37" s="22" t="str">
        <f t="array" ref="G37">IFERROR(IF(E37*F37&lt;&gt;0,E37*F37,""),"")</f>
        <v/>
      </c>
    </row>
    <row r="38" spans="2:7" x14ac:dyDescent="0.25">
      <c r="B38" s="29" t="str">
        <f t="shared" si="0"/>
        <v/>
      </c>
      <c r="C38" s="23" t="str">
        <f t="array" ref="C38">IFERROR(INDEX(Tableau2[N° Article],SMALL(IF(Tableau2[N° commande]=bon_de_commande!$C$9,ROW(Tableau2[N° Article])-8),ROW()-18)),"")</f>
        <v/>
      </c>
      <c r="D38" s="23" t="str">
        <f t="array" ref="D38">IFERROR(INDEX(Tableau2[Nom],SMALL(IF(Tableau2[N° commande]=bon_de_commande!$C$9,ROW(Tableau2[N° Article])-8),ROW()-18)),"")</f>
        <v/>
      </c>
      <c r="E38" s="23" t="str">
        <f t="array" ref="E38">IFERROR(INDEX(Tableau2[Nombre],SMALL(IF(Tableau2[N° commande]=bon_de_commande!$C$9,ROW(Tableau2[N° Article])-8),ROW()-18)),"")</f>
        <v/>
      </c>
      <c r="F38" s="23" t="str">
        <f t="array" ref="F38">IFERROR(INDEX(Tableau2[Prix],SMALL(IF(Tableau2[N° commande]=bon_de_commande!$C$9,ROW(Tableau2[N° Article])-8),ROW()-18)),"")</f>
        <v/>
      </c>
      <c r="G38" s="22" t="str">
        <f t="array" ref="G38">IFERROR(IF(E38*F38&lt;&gt;0,E38*F38,""),"")</f>
        <v/>
      </c>
    </row>
    <row r="39" spans="2:7" ht="15.75" thickBot="1" x14ac:dyDescent="0.3">
      <c r="B39" s="19"/>
      <c r="C39" s="19"/>
      <c r="D39" s="19"/>
      <c r="E39" s="19"/>
      <c r="F39" s="19"/>
      <c r="G39" s="19"/>
    </row>
    <row r="41" spans="2:7" x14ac:dyDescent="0.25">
      <c r="F41" t="s">
        <v>89</v>
      </c>
      <c r="G41" s="22">
        <f>SUM(G19:G38)</f>
        <v>10000</v>
      </c>
    </row>
    <row r="42" spans="2:7" x14ac:dyDescent="0.25">
      <c r="F42" t="s">
        <v>90</v>
      </c>
      <c r="G42" s="22">
        <f>IF(MOD(G41*configuration!E26,25)&lt;&gt;0,QUOTIENT(G41*configuration!E26,25)*25+25,G41*configuration!E26)</f>
        <v>2100</v>
      </c>
    </row>
    <row r="43" spans="2:7" x14ac:dyDescent="0.25">
      <c r="F43" t="s">
        <v>91</v>
      </c>
      <c r="G43" s="22">
        <f>G41+G42</f>
        <v>12100</v>
      </c>
    </row>
  </sheetData>
  <conditionalFormatting sqref="C19:F38">
    <cfRule type="expression" dxfId="5" priority="5">
      <formula>$C19&lt;&gt;""</formula>
    </cfRule>
    <cfRule type="expression" dxfId="4" priority="6">
      <formula>$C19=""</formula>
    </cfRule>
  </conditionalFormatting>
  <conditionalFormatting sqref="G19:G38">
    <cfRule type="expression" dxfId="3" priority="3">
      <formula>$C19&lt;&gt;""</formula>
    </cfRule>
    <cfRule type="expression" dxfId="2" priority="4">
      <formula>$C19=""</formula>
    </cfRule>
  </conditionalFormatting>
  <conditionalFormatting sqref="B19:B38">
    <cfRule type="expression" dxfId="1" priority="1">
      <formula>$C19=""</formula>
    </cfRule>
    <cfRule type="expression" dxfId="0" priority="2">
      <formula>$C19&lt;&gt;""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B2:I17"/>
  <sheetViews>
    <sheetView tabSelected="1" topLeftCell="B1" workbookViewId="0">
      <selection activeCell="I5" sqref="I5"/>
    </sheetView>
  </sheetViews>
  <sheetFormatPr baseColWidth="10" defaultRowHeight="15" x14ac:dyDescent="0.25"/>
  <cols>
    <col min="3" max="3" width="12.28515625" customWidth="1"/>
    <col min="4" max="4" width="22.42578125" customWidth="1"/>
    <col min="5" max="5" width="13.5703125" customWidth="1"/>
    <col min="7" max="7" width="11.5703125" customWidth="1"/>
  </cols>
  <sheetData>
    <row r="2" spans="2:9" ht="60" customHeight="1" x14ac:dyDescent="0.25"/>
    <row r="5" spans="2:9" x14ac:dyDescent="0.25">
      <c r="B5" s="28" t="s">
        <v>99</v>
      </c>
      <c r="C5" s="28" t="s">
        <v>100</v>
      </c>
      <c r="D5" s="28" t="s">
        <v>101</v>
      </c>
      <c r="E5" s="28" t="s">
        <v>33</v>
      </c>
      <c r="F5" s="28" t="s">
        <v>102</v>
      </c>
      <c r="G5" s="28" t="s">
        <v>1</v>
      </c>
      <c r="H5" s="28" t="s">
        <v>30</v>
      </c>
      <c r="I5" s="28" t="s">
        <v>103</v>
      </c>
    </row>
    <row r="6" spans="2:9" x14ac:dyDescent="0.25">
      <c r="B6" s="28" t="s">
        <v>104</v>
      </c>
      <c r="C6" s="28" t="s">
        <v>11</v>
      </c>
      <c r="D6" s="28" t="s">
        <v>146</v>
      </c>
      <c r="E6" s="28" t="s">
        <v>37</v>
      </c>
      <c r="F6" s="28"/>
      <c r="G6" s="28" t="s">
        <v>141</v>
      </c>
      <c r="H6" s="28">
        <v>47</v>
      </c>
      <c r="I6" s="34" t="str">
        <f>IF(Tableau5[[#This Row],[Type]]="Sortie",COUNTIFS(Tableau5[Type],Tableau5[[#This Row],[Type]],Tableau5[Nombre],"&gt;"&amp;Tableau5[[#This Row],[Nombre]])+1,"")</f>
        <v/>
      </c>
    </row>
    <row r="7" spans="2:9" x14ac:dyDescent="0.25">
      <c r="B7" s="28" t="s">
        <v>104</v>
      </c>
      <c r="C7" s="28" t="s">
        <v>11</v>
      </c>
      <c r="D7" s="28" t="s">
        <v>146</v>
      </c>
      <c r="E7" s="28" t="s">
        <v>37</v>
      </c>
      <c r="F7" s="28"/>
      <c r="G7" s="28" t="s">
        <v>144</v>
      </c>
      <c r="H7" s="28">
        <v>51</v>
      </c>
      <c r="I7" s="34" t="str">
        <f>IF(Tableau5[[#This Row],[Type]]="Sortie",COUNTIFS(Tableau5[Type],Tableau5[[#This Row],[Type]],Tableau5[Nombre],"&gt;"&amp;Tableau5[[#This Row],[Nombre]])+1,"")</f>
        <v/>
      </c>
    </row>
    <row r="8" spans="2:9" x14ac:dyDescent="0.25">
      <c r="B8" s="28" t="s">
        <v>104</v>
      </c>
      <c r="C8" s="28" t="s">
        <v>11</v>
      </c>
      <c r="D8" s="28" t="s">
        <v>146</v>
      </c>
      <c r="E8" s="28" t="s">
        <v>37</v>
      </c>
      <c r="F8" s="28"/>
      <c r="G8" s="28" t="s">
        <v>142</v>
      </c>
      <c r="H8" s="28">
        <v>8</v>
      </c>
      <c r="I8" s="34" t="str">
        <f>IF(Tableau5[[#This Row],[Type]]="Sortie",COUNTIFS(Tableau5[Type],Tableau5[[#This Row],[Type]],Tableau5[Nombre],"&gt;"&amp;Tableau5[[#This Row],[Nombre]])+1,"")</f>
        <v/>
      </c>
    </row>
    <row r="9" spans="2:9" x14ac:dyDescent="0.25">
      <c r="B9" s="28" t="s">
        <v>107</v>
      </c>
      <c r="C9" s="28" t="s">
        <v>14</v>
      </c>
      <c r="D9" s="28" t="s">
        <v>108</v>
      </c>
      <c r="E9" s="28"/>
      <c r="F9" s="28" t="s">
        <v>55</v>
      </c>
      <c r="G9" s="28" t="s">
        <v>144</v>
      </c>
      <c r="H9" s="28">
        <v>12</v>
      </c>
      <c r="I9" s="34">
        <f>IF(Tableau5[[#This Row],[Type]]="Sortie",COUNTIFS(Tableau5[Type],Tableau5[[#This Row],[Type]],Tableau5[Nombre],"&gt;"&amp;Tableau5[[#This Row],[Nombre]])+1,"")</f>
        <v>1</v>
      </c>
    </row>
    <row r="10" spans="2:9" x14ac:dyDescent="0.25">
      <c r="B10" s="28" t="s">
        <v>107</v>
      </c>
      <c r="C10" s="28" t="s">
        <v>17</v>
      </c>
      <c r="D10" s="28" t="s">
        <v>108</v>
      </c>
      <c r="E10" s="28"/>
      <c r="F10" s="28" t="s">
        <v>53</v>
      </c>
      <c r="G10" s="28" t="s">
        <v>142</v>
      </c>
      <c r="H10" s="28">
        <v>9</v>
      </c>
      <c r="I10" s="34">
        <f>IF(Tableau5[[#This Row],[Type]]="Sortie",COUNTIFS(Tableau5[Type],Tableau5[[#This Row],[Type]],Tableau5[Nombre],"&gt;"&amp;Tableau5[[#This Row],[Nombre]])+1,"")</f>
        <v>3</v>
      </c>
    </row>
    <row r="11" spans="2:9" x14ac:dyDescent="0.25">
      <c r="B11" s="28" t="s">
        <v>107</v>
      </c>
      <c r="C11" s="28" t="s">
        <v>17</v>
      </c>
      <c r="D11" s="28" t="s">
        <v>108</v>
      </c>
      <c r="E11" s="28"/>
      <c r="F11" s="28" t="s">
        <v>53</v>
      </c>
      <c r="G11" s="28" t="s">
        <v>147</v>
      </c>
      <c r="H11" s="28">
        <v>9</v>
      </c>
      <c r="I11" s="34">
        <f>IF(Tableau5[[#This Row],[Type]]="Sortie",COUNTIFS(Tableau5[Type],Tableau5[[#This Row],[Type]],Tableau5[Nombre],"&gt;"&amp;Tableau5[[#This Row],[Nombre]])+1,"")</f>
        <v>3</v>
      </c>
    </row>
    <row r="12" spans="2:9" x14ac:dyDescent="0.25">
      <c r="B12" s="28" t="s">
        <v>104</v>
      </c>
      <c r="C12" s="28" t="s">
        <v>19</v>
      </c>
      <c r="D12" s="28" t="s">
        <v>150</v>
      </c>
      <c r="E12" s="28" t="s">
        <v>41</v>
      </c>
      <c r="F12" s="28"/>
      <c r="G12" s="28" t="s">
        <v>141</v>
      </c>
      <c r="H12" s="28">
        <v>12</v>
      </c>
      <c r="I12" s="34" t="str">
        <f>IF(Tableau5[[#This Row],[Type]]="Sortie",COUNTIFS(Tableau5[Type],Tableau5[[#This Row],[Type]],Tableau5[Nombre],"&gt;"&amp;Tableau5[[#This Row],[Nombre]])+1,"")</f>
        <v/>
      </c>
    </row>
    <row r="13" spans="2:9" x14ac:dyDescent="0.25">
      <c r="B13" s="28" t="s">
        <v>104</v>
      </c>
      <c r="C13" s="28" t="s">
        <v>19</v>
      </c>
      <c r="D13" s="28" t="s">
        <v>150</v>
      </c>
      <c r="E13" s="28" t="s">
        <v>41</v>
      </c>
      <c r="F13" s="28"/>
      <c r="G13" s="28" t="s">
        <v>142</v>
      </c>
      <c r="H13" s="28">
        <v>7</v>
      </c>
      <c r="I13" s="34" t="str">
        <f>IF(Tableau5[[#This Row],[Type]]="Sortie",COUNTIFS(Tableau5[Type],Tableau5[[#This Row],[Type]],Tableau5[Nombre],"&gt;"&amp;Tableau5[[#This Row],[Nombre]])+1,"")</f>
        <v/>
      </c>
    </row>
    <row r="14" spans="2:9" x14ac:dyDescent="0.25">
      <c r="B14" s="28" t="s">
        <v>104</v>
      </c>
      <c r="C14" s="28" t="s">
        <v>19</v>
      </c>
      <c r="D14" s="28" t="s">
        <v>150</v>
      </c>
      <c r="E14" s="28" t="s">
        <v>41</v>
      </c>
      <c r="F14" s="28"/>
      <c r="G14" s="28" t="s">
        <v>144</v>
      </c>
      <c r="H14" s="28">
        <v>47</v>
      </c>
      <c r="I14" s="34" t="str">
        <f>IF(Tableau5[[#This Row],[Type]]="Sortie",COUNTIFS(Tableau5[Type],Tableau5[[#This Row],[Type]],Tableau5[Nombre],"&gt;"&amp;Tableau5[[#This Row],[Nombre]])+1,"")</f>
        <v/>
      </c>
    </row>
    <row r="15" spans="2:9" x14ac:dyDescent="0.25">
      <c r="B15" s="28" t="s">
        <v>104</v>
      </c>
      <c r="C15" s="28" t="s">
        <v>19</v>
      </c>
      <c r="D15" s="28" t="s">
        <v>150</v>
      </c>
      <c r="E15" s="28" t="s">
        <v>41</v>
      </c>
      <c r="F15" s="28"/>
      <c r="G15" s="28" t="s">
        <v>147</v>
      </c>
      <c r="H15" s="28">
        <v>23</v>
      </c>
      <c r="I15" s="34" t="str">
        <f>IF(Tableau5[[#This Row],[Type]]="Sortie",COUNTIFS(Tableau5[Type],Tableau5[[#This Row],[Type]],Tableau5[Nombre],"&gt;"&amp;Tableau5[[#This Row],[Nombre]])+1,"")</f>
        <v/>
      </c>
    </row>
    <row r="16" spans="2:9" x14ac:dyDescent="0.25">
      <c r="B16" s="28" t="s">
        <v>107</v>
      </c>
      <c r="C16" s="28" t="s">
        <v>152</v>
      </c>
      <c r="D16" s="28" t="s">
        <v>150</v>
      </c>
      <c r="E16" s="28"/>
      <c r="F16" s="28" t="s">
        <v>59</v>
      </c>
      <c r="G16" s="28" t="s">
        <v>147</v>
      </c>
      <c r="H16" s="28">
        <v>12</v>
      </c>
      <c r="I16" s="34">
        <f>IF(Tableau5[[#This Row],[Type]]="Sortie",COUNTIFS(Tableau5[Type],Tableau5[[#This Row],[Type]],Tableau5[Nombre],"&gt;"&amp;Tableau5[[#This Row],[Nombre]])+1,"")</f>
        <v>1</v>
      </c>
    </row>
    <row r="17" spans="2:9" x14ac:dyDescent="0.25">
      <c r="B17" s="28" t="s">
        <v>104</v>
      </c>
      <c r="C17" s="28" t="s">
        <v>14</v>
      </c>
      <c r="D17" s="28" t="s">
        <v>156</v>
      </c>
      <c r="E17" s="28" t="s">
        <v>42</v>
      </c>
      <c r="F17" s="28"/>
      <c r="G17" s="28" t="s">
        <v>153</v>
      </c>
      <c r="H17" s="28">
        <v>12</v>
      </c>
      <c r="I17" s="34" t="str">
        <f>IF(Tableau5[[#This Row],[Type]]="Sortie",COUNTIFS(Tableau5[Type],Tableau5[[#This Row],[Type]],Tableau5[Nombre],"&gt;"&amp;Tableau5[[#This Row],[Nombre]])+1,"")</f>
        <v/>
      </c>
    </row>
  </sheetData>
  <dataValidations count="1">
    <dataValidation type="list" allowBlank="1" showInputMessage="1" showErrorMessage="1" sqref="B6:B17">
      <formula1>"Entrée,Sortie"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152400</xdr:colOff>
                <xdr:row>4</xdr:row>
                <xdr:rowOff>9525</xdr:rowOff>
              </to>
            </anchor>
          </controlPr>
        </control>
      </mc:Choice>
      <mc:Fallback>
        <control shapeId="4098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E16"/>
  <sheetViews>
    <sheetView workbookViewId="0">
      <selection activeCell="H8" sqref="H8"/>
    </sheetView>
  </sheetViews>
  <sheetFormatPr baseColWidth="10" defaultRowHeight="15" x14ac:dyDescent="0.25"/>
  <cols>
    <col min="4" max="4" width="12.7109375" customWidth="1"/>
    <col min="5" max="5" width="23.28515625" customWidth="1"/>
  </cols>
  <sheetData>
    <row r="1" spans="2:5" ht="27.75" customHeight="1" x14ac:dyDescent="0.25"/>
    <row r="4" spans="2:5" x14ac:dyDescent="0.25">
      <c r="B4" s="2" t="s">
        <v>2</v>
      </c>
      <c r="C4" s="2" t="s">
        <v>34</v>
      </c>
      <c r="D4" s="2" t="s">
        <v>35</v>
      </c>
      <c r="E4" s="2" t="s">
        <v>36</v>
      </c>
    </row>
    <row r="5" spans="2:5" x14ac:dyDescent="0.25">
      <c r="B5" t="s">
        <v>37</v>
      </c>
      <c r="C5" t="s">
        <v>38</v>
      </c>
      <c r="D5">
        <v>695197322</v>
      </c>
      <c r="E5" s="13" t="s">
        <v>39</v>
      </c>
    </row>
    <row r="6" spans="2:5" x14ac:dyDescent="0.25">
      <c r="B6" t="s">
        <v>40</v>
      </c>
      <c r="C6" t="s">
        <v>38</v>
      </c>
      <c r="D6">
        <v>695197323</v>
      </c>
      <c r="E6" s="13" t="s">
        <v>39</v>
      </c>
    </row>
    <row r="7" spans="2:5" x14ac:dyDescent="0.25">
      <c r="B7" t="s">
        <v>41</v>
      </c>
      <c r="C7" t="s">
        <v>38</v>
      </c>
      <c r="D7">
        <v>695197324</v>
      </c>
      <c r="E7" s="13" t="s">
        <v>39</v>
      </c>
    </row>
    <row r="8" spans="2:5" x14ac:dyDescent="0.25">
      <c r="B8" t="s">
        <v>42</v>
      </c>
      <c r="C8" t="s">
        <v>38</v>
      </c>
      <c r="D8">
        <v>695197325</v>
      </c>
      <c r="E8" s="13" t="s">
        <v>39</v>
      </c>
    </row>
    <row r="9" spans="2:5" x14ac:dyDescent="0.25">
      <c r="B9" t="s">
        <v>43</v>
      </c>
      <c r="C9" t="s">
        <v>38</v>
      </c>
      <c r="D9">
        <v>695197326</v>
      </c>
      <c r="E9" s="13" t="s">
        <v>39</v>
      </c>
    </row>
    <row r="10" spans="2:5" x14ac:dyDescent="0.25">
      <c r="B10" t="s">
        <v>44</v>
      </c>
      <c r="C10" t="s">
        <v>38</v>
      </c>
      <c r="D10">
        <v>695197327</v>
      </c>
      <c r="E10" s="13" t="s">
        <v>39</v>
      </c>
    </row>
    <row r="11" spans="2:5" x14ac:dyDescent="0.25">
      <c r="B11" t="s">
        <v>45</v>
      </c>
      <c r="C11" t="s">
        <v>38</v>
      </c>
      <c r="D11">
        <v>695197328</v>
      </c>
      <c r="E11" s="13" t="s">
        <v>39</v>
      </c>
    </row>
    <row r="12" spans="2:5" x14ac:dyDescent="0.25">
      <c r="B12" t="s">
        <v>46</v>
      </c>
      <c r="C12" t="s">
        <v>38</v>
      </c>
      <c r="D12">
        <v>695197329</v>
      </c>
      <c r="E12" s="13" t="s">
        <v>39</v>
      </c>
    </row>
    <row r="13" spans="2:5" x14ac:dyDescent="0.25">
      <c r="B13" t="s">
        <v>47</v>
      </c>
      <c r="C13" t="s">
        <v>38</v>
      </c>
      <c r="D13">
        <v>695197330</v>
      </c>
      <c r="E13" s="13" t="s">
        <v>39</v>
      </c>
    </row>
    <row r="14" spans="2:5" x14ac:dyDescent="0.25">
      <c r="B14" t="s">
        <v>48</v>
      </c>
      <c r="C14" t="s">
        <v>38</v>
      </c>
      <c r="D14">
        <v>695197331</v>
      </c>
      <c r="E14" s="13" t="s">
        <v>39</v>
      </c>
    </row>
    <row r="15" spans="2:5" x14ac:dyDescent="0.25">
      <c r="B15" t="s">
        <v>49</v>
      </c>
      <c r="C15" t="s">
        <v>38</v>
      </c>
      <c r="D15">
        <v>695197332</v>
      </c>
      <c r="E15" s="13" t="s">
        <v>39</v>
      </c>
    </row>
    <row r="16" spans="2:5" x14ac:dyDescent="0.25">
      <c r="B16" t="s">
        <v>50</v>
      </c>
      <c r="C16" t="s">
        <v>38</v>
      </c>
      <c r="D16">
        <v>695197333</v>
      </c>
      <c r="E16" s="13" t="s">
        <v>39</v>
      </c>
    </row>
  </sheetData>
  <hyperlinks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6" r:id="rId12"/>
  </hyperlinks>
  <pageMargins left="0.7" right="0.7" top="0.75" bottom="0.75" header="0.3" footer="0.3"/>
  <drawing r:id="rId13"/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</vt:i4>
      </vt:variant>
    </vt:vector>
  </HeadingPairs>
  <TitlesOfParts>
    <vt:vector size="13" baseType="lpstr">
      <vt:lpstr>accueil</vt:lpstr>
      <vt:lpstr>article</vt:lpstr>
      <vt:lpstr>clients</vt:lpstr>
      <vt:lpstr>configuration</vt:lpstr>
      <vt:lpstr>commande</vt:lpstr>
      <vt:lpstr>bon_de_commande</vt:lpstr>
      <vt:lpstr>livraison</vt:lpstr>
      <vt:lpstr>fournisseur</vt:lpstr>
      <vt:lpstr>article</vt:lpstr>
      <vt:lpstr>client</vt:lpstr>
      <vt:lpstr>commande</vt:lpstr>
      <vt:lpstr>fournisseur</vt:lpstr>
      <vt:lpstr>bon_de_commande!Zone_d_impression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BOCCHI</dc:creator>
  <cp:lastModifiedBy>BOCCHI</cp:lastModifiedBy>
  <cp:lastPrinted>2020-04-21T20:01:32Z</cp:lastPrinted>
  <dcterms:created xsi:type="dcterms:W3CDTF">2020-04-14T21:22:52Z</dcterms:created>
  <dcterms:modified xsi:type="dcterms:W3CDTF">2020-04-22T03:29:45Z</dcterms:modified>
</cp:coreProperties>
</file>